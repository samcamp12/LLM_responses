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Node Economics" sheetId="3" state="visible" r:id="rId5"/>
    <sheet name="Throughput" sheetId="4" state="visible" r:id="rId6"/>
    <sheet name="Cost Model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<sst xmlns="http://schemas.openxmlformats.org/spreadsheetml/2006/main" count="401" uniqueCount="332">
  <si>
    <t xml:space="preserve">Frontier AI Coding Agent — Infrastructure Cost Model</t>
  </si>
  <si>
    <t xml:space="preserve">Bottom-up serving-cost model, engineered on the latest documented frontier MoE (DeepSeek-V4-Pro: 1.6T total / 49B active, hybrid sparse attention) on NVIDIA B300 (Blackwell Ultra).</t>
  </si>
  <si>
    <t xml:space="preserve">WHAT THIS IS</t>
  </si>
  <si>
    <t xml:space="preserve">A bottom-up model of what it costs to SERVE a frontier coding agent, with the infrastructure cost broken into the five</t>
  </si>
  <si>
    <t xml:space="preserve">requested buckets: GPU, CPU, DRAM, electricity, and human. It builds the cost of owning and running one inference</t>
  </si>
  <si>
    <t xml:space="preserve">node, converts that to a cost per token using measured throughput, then rolls up to cost per coding task, per developer,</t>
  </si>
  <si>
    <t xml:space="preserve">and compares the result to the market API price to reveal the implied gross margin.</t>
  </si>
  <si>
    <t xml:space="preserve">ENGINEERING BASIS (updated to the latest tech, June 2026)</t>
  </si>
  <si>
    <t xml:space="preserve">Grounded in DeepSeek-V4-Pro, the best-documented top-tier model (open weights + full technical report, released Apr 2026):</t>
  </si>
  <si>
    <t xml:space="preserve">1.6T total parameters, 49B active per token, native FP4 experts, and Multi-Token Prediction for speculative decoding.</t>
  </si>
  <si>
    <t xml:space="preserve">Its headline change is a hybrid sparse-attention stack (Compressed Sparse Attention + Heavily Compressed Attention, plus</t>
  </si>
  <si>
    <t xml:space="preserve">Manifold-Constrained Hyper-Connections in place of the residual stream). Versus the prior DeepSeek-V3.2, V4 cuts per-token</t>
  </si>
  <si>
    <t xml:space="preserve">inference FLOPs by ~73% and KV-cache memory by ~90% at a 1M-token context — which is what makes long-context coding</t>
  </si>
  <si>
    <t xml:space="preserve">agents economically serveable. Top closed models (Claude Opus 4.8, GPT-5.5; ~88-89% SWE-bench Verified) do not disclose</t>
  </si>
  <si>
    <t xml:space="preserve">parameter counts and are likely larger — raise 'Active parameters / token' on the Inputs tab to model that.</t>
  </si>
  <si>
    <t xml:space="preserve">HOW TO USE</t>
  </si>
  <si>
    <t xml:space="preserve">Edit the BLUE cells on the Inputs tab. Everything else (black = formulas, green = links to other tabs) recalculates.</t>
  </si>
  <si>
    <t xml:space="preserve">The five highest-leverage assumptions are highlighted YELLOW: GPU economic life, serving-efficiency derate, fleet</t>
  </si>
  <si>
    <t xml:space="preserve">utilisation, team size, and active parameters. The Cost Model tab opens with a KEY OUTPUTS box and ends with two</t>
  </si>
  <si>
    <t xml:space="preserve">one-way sensitivity tables (utilisation and model size).</t>
  </si>
  <si>
    <t xml:space="preserve">TABS</t>
  </si>
  <si>
    <t xml:space="preserve">Inputs           — every assumption, with units and a source note for each hardcoded figure.</t>
  </si>
  <si>
    <t xml:space="preserve">Node Economics   — bill of materials for one 8-GPU B300 node; capex annualised via a capital-recovery factor; power; people.</t>
  </si>
  <si>
    <t xml:space="preserve">Throughput       — measured GB300 (Blackwell Ultra) throughput for a frontier MoE, scaled for model size to tokens/node-hour.</t>
  </si>
  <si>
    <t xml:space="preserve">Cost Model       — cost per million tokens by category, per task, per developer, vs API price, plus sensitivity.</t>
  </si>
  <si>
    <t xml:space="preserve">Sources          — every external figure with publisher, date, and URL.</t>
  </si>
  <si>
    <t xml:space="preserve">METHOD NOTES &amp; HONEST CAVEATS</t>
  </si>
  <si>
    <t xml:space="preserve">- Capex is annualised with a capital-recovery factor (an annuity that includes cost of capital). Set the discount rate to</t>
  </si>
  <si>
    <t xml:space="preserve">  0% on the Inputs tab to recover plain straight-line depreciation.</t>
  </si>
  <si>
    <t xml:space="preserve">- 'GPU' cost includes the on-package HBM (288GB HBM3e on B300, not separately purchasable). The 'DRAM' bucket is host DDR5.</t>
  </si>
  <si>
    <t xml:space="preserve">- Host DDR5 is sized high (3 TB) because V4's CPU-extended KV cache offloads long-context state to system memory; this is</t>
  </si>
  <si>
    <t xml:space="preserve">  the bucket that grows as context length grows. It is still small versus GPU even at today's elevated DRAM prices.</t>
  </si>
  <si>
    <t xml:space="preserve">- Networking, NVSwitch, storage and chassis are grouped as 'Other hardware' — shown separately so the five requested</t>
  </si>
  <si>
    <t xml:space="preserve">  buckets stay clean, but included in the total so the model is complete.</t>
  </si>
  <si>
    <t xml:space="preserve">- The throughput anchor is a throughput-optimised (offline/high-batch) GB300 result. Real interactive serving sacrifices</t>
  </si>
  <si>
    <t xml:space="preserve">  some of this for latency; the serving-efficiency derate and fleet-utilisation inputs capture that, and both are explicit.</t>
  </si>
  <si>
    <t xml:space="preserve">- TRAINING the model is NOT one of the five buckets and is excluded from the headline cost. It is shown as optional</t>
  </si>
  <si>
    <t xml:space="preserve">  context on the Cost Model tab, because for a frontier model it can rival or exceed the entire marginal serving cost.</t>
  </si>
  <si>
    <t xml:space="preserve">- This is a transparent estimate built on public figures (see Sources), not the internal economics of any specific lab.</t>
  </si>
  <si>
    <t xml:space="preserve">Prepared June 2026. All external data points are dated on the Sources tab.</t>
  </si>
  <si>
    <t xml:space="preserve">INPUTS &amp; ASSUMPTIONS</t>
  </si>
  <si>
    <t xml:space="preserve">Edit BLUE cells. Yellow = highest-leverage assumptions. All other tabs recalculate from here.</t>
  </si>
  <si>
    <t xml:space="preserve">Assumption</t>
  </si>
  <si>
    <t xml:space="preserve">Value</t>
  </si>
  <si>
    <t xml:space="preserve">Unit</t>
  </si>
  <si>
    <t xml:space="preserve">Source / note</t>
  </si>
  <si>
    <t xml:space="preserve">HARDWARE — GPU</t>
  </si>
  <si>
    <t xml:space="preserve">GPU model</t>
  </si>
  <si>
    <t xml:space="preserve">NVIDIA B300</t>
  </si>
  <si>
    <t xml:space="preserve">Blackwell Ultra; the volume-production inference GPU in 2026</t>
  </si>
  <si>
    <t xml:space="preserve">GPU unit cost</t>
  </si>
  <si>
    <t xml:space="preserve">$/GPU</t>
  </si>
  <si>
    <t xml:space="preserve">B300 list ~$40k-$50k; DGX B300 8-GPU ~$300k (Spheron; Tech-Insider 2026)</t>
  </si>
  <si>
    <t xml:space="preserve">GPUs per node</t>
  </si>
  <si>
    <t xml:space="preserve">GPUs</t>
  </si>
  <si>
    <t xml:space="preserve">HGX/DGX B300 8-GPU baseboard</t>
  </si>
  <si>
    <t xml:space="preserve">GPU TDP</t>
  </si>
  <si>
    <t xml:space="preserve">W</t>
  </si>
  <si>
    <t xml:space="preserve">NVIDIA B300 1,400W; liquid-cooled (Spheron; VRLA 2026)</t>
  </si>
  <si>
    <t xml:space="preserve">GPU economic life</t>
  </si>
  <si>
    <t xml:space="preserve">years</t>
  </si>
  <si>
    <t xml:space="preserve">Assumption; 3-5y typical for leading-edge AI GPUs</t>
  </si>
  <si>
    <t xml:space="preserve">HBM per GPU</t>
  </si>
  <si>
    <t xml:space="preserve">GB</t>
  </si>
  <si>
    <t xml:space="preserve">288GB HBM3e (incl. in GPU price, not the DRAM bucket)</t>
  </si>
  <si>
    <t xml:space="preserve">HARDWARE — CPU (host)</t>
  </si>
  <si>
    <t xml:space="preserve">Host CPUs per node</t>
  </si>
  <si>
    <t xml:space="preserve">CPUs</t>
  </si>
  <si>
    <t xml:space="preserve">Dual-socket host (e.g. Xeon 6776P in DGX B300)</t>
  </si>
  <si>
    <t xml:space="preserve">CPU unit cost</t>
  </si>
  <si>
    <t xml:space="preserve">$/CPU</t>
  </si>
  <si>
    <t xml:space="preserve">High-core server CPU, estimate</t>
  </si>
  <si>
    <t xml:space="preserve">CPU TDP</t>
  </si>
  <si>
    <t xml:space="preserve">Top-bin server CPU, estimate</t>
  </si>
  <si>
    <t xml:space="preserve">Non-GPU hardware life</t>
  </si>
  <si>
    <t xml:space="preserve">CPU / DRAM / networking / chassis</t>
  </si>
  <si>
    <t xml:space="preserve">HARDWARE — DRAM (host system memory)</t>
  </si>
  <si>
    <t xml:space="preserve">System DRAM per node</t>
  </si>
  <si>
    <t xml:space="preserve">~3 TB/node; sized for V4 CPU-extended KV cache (HiSparse) at long context</t>
  </si>
  <si>
    <t xml:space="preserve">DRAM price</t>
  </si>
  <si>
    <t xml:space="preserve">$/GB</t>
  </si>
  <si>
    <t xml:space="preserve">Server DDR5 RDIMM ~$14/GB; 64GB RDIMM crossed $900 in Q1'26 (rampricesusa; PCSP 2026)</t>
  </si>
  <si>
    <t xml:space="preserve">DRAM power per node</t>
  </si>
  <si>
    <t xml:space="preserve">Estimate (3 TB RDIMM)</t>
  </si>
  <si>
    <t xml:space="preserve">HARDWARE — Other (networking, storage, chassis)</t>
  </si>
  <si>
    <t xml:space="preserve">Other hardware / node</t>
  </si>
  <si>
    <t xml:space="preserve">$/node</t>
  </si>
  <si>
    <t xml:space="preserve">NVSwitch/NVLink5, ConnectX/IB NICs, NVMe, chassis, PSUs (est.)</t>
  </si>
  <si>
    <t xml:space="preserve">Other hardware power / node</t>
  </si>
  <si>
    <t xml:space="preserve">NVSwitch + NICs + fans + storage, estimate</t>
  </si>
  <si>
    <t xml:space="preserve">POWER</t>
  </si>
  <si>
    <t xml:space="preserve">Electricity price</t>
  </si>
  <si>
    <t xml:space="preserve">$/kWh</t>
  </si>
  <si>
    <t xml:space="preserve">US industrial avg ~$0.073; hyperscale &lt;$0.05 (EIA / Network Installers 2026)</t>
  </si>
  <si>
    <t xml:space="preserve">PUE</t>
  </si>
  <si>
    <t xml:space="preserve">x</t>
  </si>
  <si>
    <t xml:space="preserve">Modern liquid-cooled AI DC 1.1-1.2 (B300 requires liquid cooling)</t>
  </si>
  <si>
    <t xml:space="preserve">FINANCING</t>
  </si>
  <si>
    <t xml:space="preserve">Cost of capital (discount rate)</t>
  </si>
  <si>
    <t xml:space="preserve">%</t>
  </si>
  <si>
    <t xml:space="preserve">For capital-recovery factor; set 0% for straight-line depreciation</t>
  </si>
  <si>
    <t xml:space="preserve">MODEL ENGINEERING — frontier MoE (DeepSeek-V4-Pro)</t>
  </si>
  <si>
    <t xml:space="preserve">Total parameters</t>
  </si>
  <si>
    <t xml:space="preserve">B</t>
  </si>
  <si>
    <t xml:space="preserve">DeepSeek-V4-Pro 1.6T (HF model card; NVIDIA; LMSYS, Apr 2026)</t>
  </si>
  <si>
    <t xml:space="preserve">Active parameters / token</t>
  </si>
  <si>
    <t xml:space="preserve">DeepSeek-V4-Pro 49B active; closed frontier models likely higher</t>
  </si>
  <si>
    <t xml:space="preserve">Weight precision</t>
  </si>
  <si>
    <t xml:space="preserve">bytes/param</t>
  </si>
  <si>
    <t xml:space="preserve">Native FP4 experts on Blackwell (FP8 = 1.0)</t>
  </si>
  <si>
    <t xml:space="preserve">KV-cache vs DeepSeek-V3.2</t>
  </si>
  <si>
    <t xml:space="preserve">V4 hybrid attention (CSA+HCA): ~90% KV-cache reduction at 1M ctx</t>
  </si>
  <si>
    <t xml:space="preserve">Per-token FLOPs vs V3.2</t>
  </si>
  <si>
    <t xml:space="preserve">V4: ~73% fewer per-token inference FLOPs at 1M ctx</t>
  </si>
  <si>
    <t xml:space="preserve">MTP speculative-decode speedup</t>
  </si>
  <si>
    <t xml:space="preserve">Available in V4; set 1.0 (already reflected in throughput anchor)</t>
  </si>
  <si>
    <t xml:space="preserve">INFERENCE THROUGHPUT — measured anchor (GB300 Blackwell Ultra)</t>
  </si>
  <si>
    <t xml:space="preserve">Reference GPU</t>
  </si>
  <si>
    <t xml:space="preserve">NVIDIA GB300</t>
  </si>
  <si>
    <t xml:space="preserve">Anchor hardware (Blackwell Ultra, FP4)</t>
  </si>
  <si>
    <t xml:space="preserve">Ref decode (output) / 8-GPU node</t>
  </si>
  <si>
    <t xml:space="preserve">tok/s</t>
  </si>
  <si>
    <t xml:space="preserve">5,842 tok/s/GPU x8; MLPerf v5.1 GB300 NVL72, DeepSeek-R1 FP4 offline</t>
  </si>
  <si>
    <t xml:space="preserve">Ref prefill (input) / 8-GPU node</t>
  </si>
  <si>
    <t xml:space="preserve">~2.5x decode (prefill compute-bound); ratio per vLLM GB300 measurement</t>
  </si>
  <si>
    <t xml:space="preserve">Hardware multiplier</t>
  </si>
  <si>
    <t xml:space="preserve">Anchor is already measured on B300/GB300, so no scaling (=1.0)</t>
  </si>
  <si>
    <t xml:space="preserve">Serving-efficiency derate</t>
  </si>
  <si>
    <t xml:space="preserve">Interactive latency SLAs vs throughput-optimised (offline) benchmark peak</t>
  </si>
  <si>
    <t xml:space="preserve">UTILISATION &amp; FLEET</t>
  </si>
  <si>
    <t xml:space="preserve">Fleet utilisation (life-average)</t>
  </si>
  <si>
    <t xml:space="preserve">Avg served load vs effective peak (diurnal demand, headroom, redundancy)</t>
  </si>
  <si>
    <t xml:space="preserve">Fleet size</t>
  </si>
  <si>
    <t xml:space="preserve">nodes</t>
  </si>
  <si>
    <t xml:space="preserve">Serving cluster (= nodes x 8 GPUs)</t>
  </si>
  <si>
    <t xml:space="preserve">HUMAN / TEAM (build &amp; operate the agent service)</t>
  </si>
  <si>
    <t xml:space="preserve">Team size</t>
  </si>
  <si>
    <t xml:space="preserve">FTEs</t>
  </si>
  <si>
    <t xml:space="preserve">Research + applied eng + inference/platform + SRE/ops</t>
  </si>
  <si>
    <t xml:space="preserve">Fully-loaded cost / FTE</t>
  </si>
  <si>
    <t xml:space="preserve">$/yr</t>
  </si>
  <si>
    <t xml:space="preserve">Frontier-lab senior TC ~$550k-$870k+ loaded (JobsByCulture/Levels, 2026)</t>
  </si>
  <si>
    <t xml:space="preserve">WORKLOAD PROFILE (per coding task)</t>
  </si>
  <si>
    <t xml:space="preserve">Input tokens / task</t>
  </si>
  <si>
    <t xml:space="preserve">tokens</t>
  </si>
  <si>
    <t xml:space="preserve">Repo context + tool results, cumulative across the task</t>
  </si>
  <si>
    <t xml:space="preserve">Output tokens / task</t>
  </si>
  <si>
    <t xml:space="preserve">Reasoning + code across a multi-step agent run</t>
  </si>
  <si>
    <t xml:space="preserve">Tasks / developer / day</t>
  </si>
  <si>
    <t xml:space="preserve">tasks</t>
  </si>
  <si>
    <t xml:space="preserve">MARKET REFERENCE</t>
  </si>
  <si>
    <t xml:space="preserve">API price — input</t>
  </si>
  <si>
    <t xml:space="preserve">$/M tok</t>
  </si>
  <si>
    <t xml:space="preserve">Claude Opus 4.8 list price, Jun 2026 (Anthropic docs; VentureBeat)</t>
  </si>
  <si>
    <t xml:space="preserve">API price — output</t>
  </si>
  <si>
    <t xml:space="preserve">Claude Opus 4.8 list price, Jun 2026 (open-weight V4-Pro is $0.87 for ref)</t>
  </si>
  <si>
    <t xml:space="preserve">OPTIONAL CONTEXT — TRAINING (excluded from the 5 infra buckets)</t>
  </si>
  <si>
    <t xml:space="preserve">Training run cost (all-in)</t>
  </si>
  <si>
    <t xml:space="preserve">$</t>
  </si>
  <si>
    <t xml:space="preserve">Order-of-magnitude for a frontier model; highly uncertain</t>
  </si>
  <si>
    <t xml:space="preserve">Tokens served over model life</t>
  </si>
  <si>
    <t xml:space="preserve">trillion</t>
  </si>
  <si>
    <t xml:space="preserve">For optional training amortisation</t>
  </si>
  <si>
    <t xml:space="preserve">NODE ECONOMICS  —  one 8-GPU B300 node: capex → $ / node-hour</t>
  </si>
  <si>
    <t xml:space="preserve">Cost to OWN and RUN one node for one hour, by component. Green = pulled from Inputs.</t>
  </si>
  <si>
    <t xml:space="preserve">Constants</t>
  </si>
  <si>
    <t xml:space="preserve">Hours per year</t>
  </si>
  <si>
    <t xml:space="preserve">hr</t>
  </si>
  <si>
    <t xml:space="preserve">Capital-recovery factors</t>
  </si>
  <si>
    <t xml:space="preserve">Discount rate (r)</t>
  </si>
  <si>
    <t xml:space="preserve">GPU life (n, yrs)</t>
  </si>
  <si>
    <t xml:space="preserve">Non-GPU life (n, yrs)</t>
  </si>
  <si>
    <t xml:space="preserve">CRF — GPU</t>
  </si>
  <si>
    <t xml:space="preserve">annuity factor</t>
  </si>
  <si>
    <t xml:space="preserve">CRF — non-GPU</t>
  </si>
  <si>
    <t xml:space="preserve">Per-node capital cost</t>
  </si>
  <si>
    <t xml:space="preserve">Component</t>
  </si>
  <si>
    <t xml:space="preserve">Capex ($/node)</t>
  </si>
  <si>
    <t xml:space="preserve">CRF</t>
  </si>
  <si>
    <t xml:space="preserve">Annualised ($/yr)</t>
  </si>
  <si>
    <t xml:space="preserve">$ / node-hour</t>
  </si>
  <si>
    <t xml:space="preserve">GPU</t>
  </si>
  <si>
    <t xml:space="preserve">CPU</t>
  </si>
  <si>
    <t xml:space="preserve">DRAM (system)</t>
  </si>
  <si>
    <t xml:space="preserve">Other hardware</t>
  </si>
  <si>
    <t xml:space="preserve">Total hardware</t>
  </si>
  <si>
    <t xml:space="preserve">Power</t>
  </si>
  <si>
    <t xml:space="preserve">GPU power</t>
  </si>
  <si>
    <t xml:space="preserve">kW</t>
  </si>
  <si>
    <t xml:space="preserve">CPU power</t>
  </si>
  <si>
    <t xml:space="preserve">DRAM power</t>
  </si>
  <si>
    <t xml:space="preserve">Other power</t>
  </si>
  <si>
    <t xml:space="preserve">IT power (node)</t>
  </si>
  <si>
    <t xml:space="preserve">Facility power (node)</t>
  </si>
  <si>
    <t xml:space="preserve">Power cost</t>
  </si>
  <si>
    <t xml:space="preserve">$/node-hr</t>
  </si>
  <si>
    <t xml:space="preserve">Human / team (allocated across the fleet)</t>
  </si>
  <si>
    <t xml:space="preserve">Annual human cost</t>
  </si>
  <si>
    <t xml:space="preserve">Fleet size (nodes)</t>
  </si>
  <si>
    <t xml:space="preserve">Human cost</t>
  </si>
  <si>
    <t xml:space="preserve">SUMMARY — $ / node-hour by category</t>
  </si>
  <si>
    <t xml:space="preserve">Category</t>
  </si>
  <si>
    <t xml:space="preserve">% of total</t>
  </si>
  <si>
    <t xml:space="preserve">DRAM</t>
  </si>
  <si>
    <t xml:space="preserve">Electricity</t>
  </si>
  <si>
    <t xml:space="preserve">Human</t>
  </si>
  <si>
    <t xml:space="preserve">TOTAL</t>
  </si>
  <si>
    <t xml:space="preserve">INFERENCE THROUGHPUT  —  measured GB300 anchor (Blackwell Ultra), scaled for model size</t>
  </si>
  <si>
    <t xml:space="preserve">Aggregate tokens/sec across many concurrent requests (high batch), then derated. Green = from Inputs.</t>
  </si>
  <si>
    <t xml:space="preserve">Reference (measured) — GB300, DeepSeek-R1 (671B / 37B active), FP4, throughput-optimised</t>
  </si>
  <si>
    <t xml:space="preserve">Ref decode (output) / node</t>
  </si>
  <si>
    <t xml:space="preserve">MLPerf v5.1 GB300 NVL72 (5,842 tok/s/GPU)</t>
  </si>
  <si>
    <t xml:space="preserve">Ref prefill (input) / node</t>
  </si>
  <si>
    <t xml:space="preserve">~2.5x decode; prefill compute-bound</t>
  </si>
  <si>
    <t xml:space="preserve">Reference active params</t>
  </si>
  <si>
    <t xml:space="preserve">Active params of the benchmark model (DeepSeek-R1)</t>
  </si>
  <si>
    <t xml:space="preserve">Scaling to the modelled system</t>
  </si>
  <si>
    <t xml:space="preserve">Anchor already on B300/GB300 (=1.0)</t>
  </si>
  <si>
    <t xml:space="preserve">MTP speedup (decode only)</t>
  </si>
  <si>
    <t xml:space="preserve">Multi-token prediction / speculative decode</t>
  </si>
  <si>
    <t xml:space="preserve">Interactive latency SLAs vs offline peak</t>
  </si>
  <si>
    <t xml:space="preserve">Active-param scaling</t>
  </si>
  <si>
    <t xml:space="preserve">~1/active-params; V4 sparse attn makes long-ctx sub-linear (upside)</t>
  </si>
  <si>
    <t xml:space="preserve">Effective per-node throughput (B300, production)</t>
  </si>
  <si>
    <t xml:space="preserve">Decode (output) / node</t>
  </si>
  <si>
    <t xml:space="preserve">ref x hw-mult x MTP x derate x param-scale</t>
  </si>
  <si>
    <t xml:space="preserve">Prefill (input) / node</t>
  </si>
  <si>
    <t xml:space="preserve">ref x hw-mult x derate x param-scale (no MTP)</t>
  </si>
  <si>
    <t xml:space="preserve">Decode (output) / GPU</t>
  </si>
  <si>
    <t xml:space="preserve">Per GPU</t>
  </si>
  <si>
    <t xml:space="preserve">Prefill (input) / GPU</t>
  </si>
  <si>
    <t xml:space="preserve">Life-average tokens per OWNED node-hour</t>
  </si>
  <si>
    <t xml:space="preserve">Fleet utilisation</t>
  </si>
  <si>
    <t xml:space="preserve">Average served load vs effective peak</t>
  </si>
  <si>
    <t xml:space="preserve">Output tokens / owned node-hr</t>
  </si>
  <si>
    <t xml:space="preserve">tok</t>
  </si>
  <si>
    <t xml:space="preserve">Decode rate x 3600 x utilisation</t>
  </si>
  <si>
    <t xml:space="preserve">Input tokens / owned node-hr</t>
  </si>
  <si>
    <t xml:space="preserve">Prefill rate x 3600 x utilisation</t>
  </si>
  <si>
    <t xml:space="preserve">COST MODEL  —  per token, per task, per developer, vs market price</t>
  </si>
  <si>
    <t xml:space="preserve">Green = links to Node Economics / Throughput. Edit assumptions on the Inputs tab.</t>
  </si>
  <si>
    <t xml:space="preserve">KEY OUTPUTS</t>
  </si>
  <si>
    <t xml:space="preserve">Infra cost / 1M OUTPUT tokens</t>
  </si>
  <si>
    <t xml:space="preserve">Infra cost / 1M INPUT tokens</t>
  </si>
  <si>
    <t xml:space="preserve">Infra cost / coding task</t>
  </si>
  <si>
    <t xml:space="preserve">Infra cost / developer-day</t>
  </si>
  <si>
    <t xml:space="preserve">Infra cost as % of API list price</t>
  </si>
  <si>
    <t xml:space="preserve">Implied gross margin vs API price</t>
  </si>
  <si>
    <t xml:space="preserve">COST PER 1,000,000 TOKENS, BY CATEGORY</t>
  </si>
  <si>
    <t xml:space="preserve">$ / 1M output</t>
  </si>
  <si>
    <t xml:space="preserve">$ / 1M input</t>
  </si>
  <si>
    <t xml:space="preserve">COST PER CODING TASK</t>
  </si>
  <si>
    <t xml:space="preserve">Input cost / task</t>
  </si>
  <si>
    <t xml:space="preserve">Output cost / task</t>
  </si>
  <si>
    <t xml:space="preserve">Total infra cost / task</t>
  </si>
  <si>
    <t xml:space="preserve">COST PER DEVELOPER</t>
  </si>
  <si>
    <t xml:space="preserve">Infra cost / developer-month</t>
  </si>
  <si>
    <t xml:space="preserve">22 working days</t>
  </si>
  <si>
    <t xml:space="preserve">VS MARKET API PRICE</t>
  </si>
  <si>
    <t xml:space="preserve">API input price</t>
  </si>
  <si>
    <t xml:space="preserve">API output price</t>
  </si>
  <si>
    <t xml:space="preserve">API price / task</t>
  </si>
  <si>
    <t xml:space="preserve">Modeled infra cost / task</t>
  </si>
  <si>
    <t xml:space="preserve">Infra cost as % of API price</t>
  </si>
  <si>
    <t xml:space="preserve">Implied gross margin</t>
  </si>
  <si>
    <t xml:space="preserve">OPTIONAL CONTEXT — TRAINING (excluded from the 5 infra buckets above)</t>
  </si>
  <si>
    <t xml:space="preserve">Tokens served over life</t>
  </si>
  <si>
    <t xml:space="preserve">M tokens</t>
  </si>
  <si>
    <t xml:space="preserve">Training amortisation</t>
  </si>
  <si>
    <t xml:space="preserve">$/M tokens</t>
  </si>
  <si>
    <t xml:space="preserve">Note: compare to total serving cost / 1M output (B19). Training can rival or exceed marginal serving cost.</t>
  </si>
  <si>
    <t xml:space="preserve">SENSITIVITY (one-way, scaled from base case)</t>
  </si>
  <si>
    <t xml:space="preserve">By fleet utilisation</t>
  </si>
  <si>
    <t xml:space="preserve">Utilisation</t>
  </si>
  <si>
    <t xml:space="preserve">$ / task</t>
  </si>
  <si>
    <t xml:space="preserve">By model size (active parameters)</t>
  </si>
  <si>
    <t xml:space="preserve">Active params (B)</t>
  </si>
  <si>
    <t xml:space="preserve">13B = V4-Flash; 49B = V4-Pro (base); 75-100B = hypothetical larger closed model.</t>
  </si>
  <si>
    <t xml:space="preserve">SOURCES</t>
  </si>
  <si>
    <t xml:space="preserve">Figure</t>
  </si>
  <si>
    <t xml:space="preserve">Value used</t>
  </si>
  <si>
    <t xml:space="preserve">Source (date)</t>
  </si>
  <si>
    <t xml:space="preserve">URL</t>
  </si>
  <si>
    <t xml:space="preserve">Engineering basis (architecture)</t>
  </si>
  <si>
    <t xml:space="preserve">V4-Pro: 1.6T total / 49B active, FP4 MoE</t>
  </si>
  <si>
    <t xml:space="preserve">DeepSeek-V4-Pro model card / NVIDIA (Apr 2026)</t>
  </si>
  <si>
    <t xml:space="preserve">https://huggingface.co/deepseek-ai/DeepSeek-V4-Pro</t>
  </si>
  <si>
    <t xml:space="preserve">Hybrid sparse attention (CSA+HCA)</t>
  </si>
  <si>
    <t xml:space="preserve">~90% KV-cache, ~73% FLOPs reduction vs V3.2</t>
  </si>
  <si>
    <t xml:space="preserve">NVIDIA Technical Blog; LMSYS (Apr 2026)</t>
  </si>
  <si>
    <t xml:space="preserve">https://developer.nvidia.com/blog/build-with-deepseek-v4-using-nvidia-blackwell-and-gpu-accelerated-endpoints/</t>
  </si>
  <si>
    <t xml:space="preserve">V4 inference internals (MTP, mHC)</t>
  </si>
  <si>
    <t xml:space="preserve">SWA + C4/C128 compression, MTP spec-decode</t>
  </si>
  <si>
    <t xml:space="preserve">LMSYS / SGLang Day-0 (Apr 2026)</t>
  </si>
  <si>
    <t xml:space="preserve">https://www.lmsys.org/blog/2026-04-25-deepseek-v4/</t>
  </si>
  <si>
    <t xml:space="preserve">Frontier coding leaders</t>
  </si>
  <si>
    <t xml:space="preserve">Opus 4.8 / GPT-5.5 ~88.6% SWE-bench Verified</t>
  </si>
  <si>
    <t xml:space="preserve">Lushbinary; VentureBeat (Jun 2026)</t>
  </si>
  <si>
    <t xml:space="preserve">https://venturebeat.com/technology/anthropics-claude-opus-4-8-is-here-with-3x-cheaper-fast-mode-and-near-mythos-level-alignment</t>
  </si>
  <si>
    <t xml:space="preserve">B300 specs / price</t>
  </si>
  <si>
    <t xml:space="preserve">288GB HBM3e, 1,400W, ~$40k-$50k; DGX ~$300k</t>
  </si>
  <si>
    <t xml:space="preserve">Spheron; VRLA Tech (2026)</t>
  </si>
  <si>
    <t xml:space="preserve">https://www.spheron.network/blog/nvidia-b300-blackwell-ultra-guide/</t>
  </si>
  <si>
    <t xml:space="preserve">GB300 measured throughput</t>
  </si>
  <si>
    <t xml:space="preserve">5,842 tok/s/GPU on DeepSeek-R1 (offline)</t>
  </si>
  <si>
    <t xml:space="preserve">MLPerf Inference v5.1 via Barrack AI (2026)</t>
  </si>
  <si>
    <t xml:space="preserve">https://blog.barrack.ai/nvidia-rubin-vs-blackwell-rent-now-or-wait/</t>
  </si>
  <si>
    <t xml:space="preserve">GB300 serving (prefill:decode)</t>
  </si>
  <si>
    <t xml:space="preserve">V3.2: 7,360 prefill / 2,816 decode tok/s/GPU</t>
  </si>
  <si>
    <t xml:space="preserve">vLLM Blog GB300 (Feb 2026)</t>
  </si>
  <si>
    <t xml:space="preserve">https://blog.vllm.ai/2026/02/13/gb300-deepseek.html</t>
  </si>
  <si>
    <t xml:space="preserve">US industrial ~$0.073/kWh; hyperscale &lt;$0.05</t>
  </si>
  <si>
    <t xml:space="preserve">Network Installers; EIA (2026)</t>
  </si>
  <si>
    <t xml:space="preserve">https://thenetworkinstallers.com/blog/data-center-energy-consumption-statistics/</t>
  </si>
  <si>
    <t xml:space="preserve">Liquid-cooled AI DC ~1.1-1.2</t>
  </si>
  <si>
    <t xml:space="preserve">Uptime Institute via above (2026)</t>
  </si>
  <si>
    <t xml:space="preserve">Server DRAM price</t>
  </si>
  <si>
    <t xml:space="preserve">Server DDR5 RDIMM ~$14/GB (64GB RDIMM &gt;$900, Q1'26)</t>
  </si>
  <si>
    <t xml:space="preserve">rampricesusa; PCSP; TechPowerUp (2026)</t>
  </si>
  <si>
    <t xml:space="preserve">https://rampricesusa.com/</t>
  </si>
  <si>
    <t xml:space="preserve">Frontier engineering comp</t>
  </si>
  <si>
    <t xml:space="preserve">Senior TC ~$550k-$870k+ loaded</t>
  </si>
  <si>
    <t xml:space="preserve">JobsByCulture; Levels.fyi (2026)</t>
  </si>
  <si>
    <t xml:space="preserve">https://jobsbyculture.com/blog/ai-engineer-researcher-salary-2026</t>
  </si>
  <si>
    <t xml:space="preserve">Reference API price</t>
  </si>
  <si>
    <t xml:space="preserve">Claude Opus 4.8 $5 in / $25 out per M</t>
  </si>
  <si>
    <t xml:space="preserve">Anthropic docs; TokenMix (Jun 2026)</t>
  </si>
  <si>
    <t xml:space="preserve">https://platform.claude.com/docs/en/about-claude/pricing</t>
  </si>
  <si>
    <t xml:space="preserve">Open-weight price (for contrast)</t>
  </si>
  <si>
    <t xml:space="preserve">DeepSeek V4-Pro $0.435 in / $0.87 out per M</t>
  </si>
  <si>
    <t xml:space="preserve">morphllm (Jun 2026)</t>
  </si>
  <si>
    <t xml:space="preserve">https://www.morphllm.com/deepseek-v4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</si>
</sst>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"/>
    <numFmt numFmtId="166" formatCode="0"/>
    <numFmt numFmtId="167" formatCode="#,##0"/>
    <numFmt numFmtId="168" formatCode="\$#,##0.00"/>
    <numFmt numFmtId="169" formatCode="\$#,##0.0000"/>
    <numFmt numFmtId="170" formatCode="0.00\x"/>
    <numFmt numFmtId="171" formatCode="0.0%"/>
    <numFmt numFmtId="172" formatCode="0.0"/>
    <numFmt numFmtId="173" formatCode="0.0000"/>
    <numFmt numFmtId="174" formatCode="#,##0.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2E5496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0563C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D9E1F2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breakdown ($ / node-hour)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'Node Economics'!$A$41:$A$46</c:f>
              <c:strCache>
                <c:ptCount val="6"/>
                <c:pt idx="0">
                  <c:v>GPU</c:v>
                </c:pt>
                <c:pt idx="1">
                  <c:v>CPU</c:v>
                </c:pt>
                <c:pt idx="2">
                  <c:v>DRAM</c:v>
                </c:pt>
                <c:pt idx="3">
                  <c:v>Other hardware</c:v>
                </c:pt>
                <c:pt idx="4">
                  <c:v>Electricity</c:v>
                </c:pt>
                <c:pt idx="5">
                  <c:v>Human</c:v>
                </c:pt>
              </c:strCache>
            </c:strRef>
          </c:cat>
          <c:val>
            <c:numRef>
              <c:f>'Node Economics'!$B$41:$B$46</c:f>
              <c:numCache>
                <c:formatCode>\$#,##0.00</c:formatCode>
                <c:ptCount val="6"/>
                <c:pt idx="0">
                  <c:v>18.2509142163071</c:v>
                </c:pt>
                <c:pt idx="1">
                  <c:v>0.79169444047103</c:v>
                </c:pt>
                <c:pt idx="2">
                  <c:v>1.36196777983112</c:v>
                </c:pt>
                <c:pt idx="3">
                  <c:v>2.53342220950729</c:v>
                </c:pt>
                <c:pt idx="4">
                  <c:v>1.344</c:v>
                </c:pt>
                <c:pt idx="5">
                  <c:v>13.6986301369863</c:v>
                </c:pt>
              </c:numCache>
            </c:numRef>
          </c:val>
        </c:ser>
        <c:gapWidth val="150"/>
        <c:overlap val="0"/>
        <c:axId val="82251674"/>
        <c:axId val="86618822"/>
      </c:barChart>
      <c:catAx>
        <c:axId val="822516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618822"/>
        <c:crosses val="autoZero"/>
        <c:auto val="1"/>
        <c:lblAlgn val="ctr"/>
        <c:lblOffset val="100"/>
        <c:noMultiLvlLbl val="0"/>
      </c:catAx>
      <c:valAx>
        <c:axId val="866188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2516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11</xdr:row>
      <xdr:rowOff>176040</xdr:rowOff>
    </xdr:from>
    <xdr:to>
      <xdr:col>13</xdr:col>
      <xdr:colOff>258120</xdr:colOff>
      <xdr:row>26</xdr:row>
      <xdr:rowOff>18000</xdr:rowOff>
    </xdr:to>
    <xdr:graphicFrame>
      <xdr:nvGraphicFramePr>
        <xdr:cNvPr id="0" name="Chart 1"/>
        <xdr:cNvGraphicFramePr/>
      </xdr:nvGraphicFramePr>
      <xdr:xfrm>
        <a:off x="6484680" y="228600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4" t="s">
        <v>2</v>
      </c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3"/>
    </row>
    <row r="12" customFormat="false" ht="15" hidden="false" customHeight="false" outlineLevel="0" collapsed="false">
      <c r="B12" s="4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3" t="s">
        <v>11</v>
      </c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3" t="s">
        <v>14</v>
      </c>
    </row>
    <row r="20" customFormat="false" ht="15" hidden="false" customHeight="false" outlineLevel="0" collapsed="false">
      <c r="B20" s="3"/>
    </row>
    <row r="21" customFormat="false" ht="15" hidden="false" customHeight="false" outlineLevel="0" collapsed="false">
      <c r="B21" s="4" t="s">
        <v>15</v>
      </c>
    </row>
    <row r="22" customFormat="false" ht="15" hidden="false" customHeight="false" outlineLevel="0" collapsed="false">
      <c r="B22" s="3" t="s">
        <v>16</v>
      </c>
    </row>
    <row r="23" customFormat="false" ht="15" hidden="false" customHeight="false" outlineLevel="0" collapsed="false">
      <c r="B23" s="3" t="s">
        <v>17</v>
      </c>
    </row>
    <row r="24" customFormat="false" ht="15" hidden="false" customHeight="false" outlineLevel="0" collapsed="false">
      <c r="B24" s="3" t="s">
        <v>18</v>
      </c>
    </row>
    <row r="25" customFormat="false" ht="15" hidden="false" customHeight="false" outlineLevel="0" collapsed="false">
      <c r="B25" s="3" t="s">
        <v>19</v>
      </c>
    </row>
    <row r="26" customFormat="false" ht="15" hidden="false" customHeight="false" outlineLevel="0" collapsed="false">
      <c r="B26" s="3"/>
    </row>
    <row r="27" customFormat="false" ht="15" hidden="false" customHeight="false" outlineLevel="0" collapsed="false">
      <c r="B27" s="4" t="s">
        <v>20</v>
      </c>
    </row>
    <row r="28" customFormat="false" ht="15" hidden="false" customHeight="false" outlineLevel="0" collapsed="false">
      <c r="B28" s="3" t="s">
        <v>21</v>
      </c>
    </row>
    <row r="29" customFormat="false" ht="15" hidden="false" customHeight="false" outlineLevel="0" collapsed="false">
      <c r="B29" s="3" t="s">
        <v>22</v>
      </c>
    </row>
    <row r="30" customFormat="false" ht="15" hidden="false" customHeight="false" outlineLevel="0" collapsed="false">
      <c r="B30" s="3" t="s">
        <v>23</v>
      </c>
    </row>
    <row r="31" customFormat="false" ht="15" hidden="false" customHeight="false" outlineLevel="0" collapsed="false">
      <c r="B31" s="3" t="s">
        <v>24</v>
      </c>
    </row>
    <row r="32" customFormat="false" ht="15" hidden="false" customHeight="false" outlineLevel="0" collapsed="false">
      <c r="B32" s="3" t="s">
        <v>25</v>
      </c>
    </row>
    <row r="33" customFormat="false" ht="15" hidden="false" customHeight="false" outlineLevel="0" collapsed="false">
      <c r="B33" s="3"/>
    </row>
    <row r="34" customFormat="false" ht="15" hidden="false" customHeight="false" outlineLevel="0" collapsed="false">
      <c r="B34" s="4" t="s">
        <v>26</v>
      </c>
    </row>
    <row r="35" customFormat="false" ht="15" hidden="false" customHeight="false" outlineLevel="0" collapsed="false">
      <c r="B35" s="3" t="s">
        <v>27</v>
      </c>
    </row>
    <row r="36" customFormat="false" ht="15" hidden="false" customHeight="false" outlineLevel="0" collapsed="false">
      <c r="B36" s="3" t="s">
        <v>28</v>
      </c>
    </row>
    <row r="37" customFormat="false" ht="15" hidden="false" customHeight="false" outlineLevel="0" collapsed="false">
      <c r="B37" s="3" t="s">
        <v>29</v>
      </c>
    </row>
    <row r="38" customFormat="false" ht="15" hidden="false" customHeight="false" outlineLevel="0" collapsed="false">
      <c r="B38" s="3" t="s">
        <v>30</v>
      </c>
    </row>
    <row r="39" customFormat="false" ht="15" hidden="false" customHeight="false" outlineLevel="0" collapsed="false">
      <c r="B39" s="3" t="s">
        <v>31</v>
      </c>
    </row>
    <row r="40" customFormat="false" ht="15" hidden="false" customHeight="false" outlineLevel="0" collapsed="false">
      <c r="B40" s="3" t="s">
        <v>32</v>
      </c>
    </row>
    <row r="41" customFormat="false" ht="15" hidden="false" customHeight="false" outlineLevel="0" collapsed="false">
      <c r="B41" s="3" t="s">
        <v>33</v>
      </c>
    </row>
    <row r="42" customFormat="false" ht="15" hidden="false" customHeight="false" outlineLevel="0" collapsed="false">
      <c r="B42" s="3" t="s">
        <v>34</v>
      </c>
    </row>
    <row r="43" customFormat="false" ht="15" hidden="false" customHeight="false" outlineLevel="0" collapsed="false">
      <c r="B43" s="3" t="s">
        <v>35</v>
      </c>
    </row>
    <row r="44" customFormat="false" ht="15" hidden="false" customHeight="false" outlineLevel="0" collapsed="false">
      <c r="B44" s="3" t="s">
        <v>36</v>
      </c>
    </row>
    <row r="45" customFormat="false" ht="15" hidden="false" customHeight="false" outlineLevel="0" collapsed="false">
      <c r="B45" s="3" t="s">
        <v>37</v>
      </c>
    </row>
    <row r="46" customFormat="false" ht="15" hidden="false" customHeight="false" outlineLevel="0" collapsed="false">
      <c r="B46" s="3" t="s">
        <v>38</v>
      </c>
    </row>
    <row r="47" customFormat="false" ht="15" hidden="false" customHeight="false" outlineLevel="0" collapsed="false">
      <c r="B47" s="3"/>
    </row>
    <row r="48" customFormat="false" ht="15" hidden="false" customHeight="false" outlineLevel="0" collapsed="false">
      <c r="B48" s="5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64"/>
  </cols>
  <sheetData>
    <row r="1" customFormat="false" ht="17.35" hidden="false" customHeight="false" outlineLevel="0" collapsed="false">
      <c r="A1" s="6" t="s">
        <v>40</v>
      </c>
      <c r="B1" s="7"/>
      <c r="C1" s="7"/>
      <c r="D1" s="7"/>
    </row>
    <row r="2" customFormat="false" ht="15" hidden="false" customHeight="false" outlineLevel="0" collapsed="false">
      <c r="A2" s="8" t="s">
        <v>41</v>
      </c>
    </row>
    <row r="3" customFormat="false" ht="15" hidden="false" customHeight="false" outlineLevel="0" collapsed="false">
      <c r="A3" s="9" t="s">
        <v>42</v>
      </c>
      <c r="B3" s="10" t="s">
        <v>43</v>
      </c>
      <c r="C3" s="10" t="s">
        <v>44</v>
      </c>
      <c r="D3" s="9" t="s">
        <v>45</v>
      </c>
    </row>
    <row r="4" customFormat="false" ht="15" hidden="false" customHeight="false" outlineLevel="0" collapsed="false">
      <c r="A4" s="11" t="s">
        <v>46</v>
      </c>
      <c r="B4" s="12"/>
      <c r="C4" s="12"/>
      <c r="D4" s="12"/>
    </row>
    <row r="5" customFormat="false" ht="15" hidden="false" customHeight="false" outlineLevel="0" collapsed="false">
      <c r="A5" s="13" t="s">
        <v>47</v>
      </c>
      <c r="B5" s="14" t="s">
        <v>48</v>
      </c>
      <c r="C5" s="15"/>
      <c r="D5" s="16" t="s">
        <v>49</v>
      </c>
    </row>
    <row r="6" customFormat="false" ht="15" hidden="false" customHeight="false" outlineLevel="0" collapsed="false">
      <c r="A6" s="13" t="s">
        <v>50</v>
      </c>
      <c r="B6" s="17" t="n">
        <v>48000</v>
      </c>
      <c r="C6" s="15" t="s">
        <v>51</v>
      </c>
      <c r="D6" s="16" t="s">
        <v>52</v>
      </c>
    </row>
    <row r="7" customFormat="false" ht="15" hidden="false" customHeight="false" outlineLevel="0" collapsed="false">
      <c r="A7" s="13" t="s">
        <v>53</v>
      </c>
      <c r="B7" s="14" t="n">
        <v>8</v>
      </c>
      <c r="C7" s="15" t="s">
        <v>54</v>
      </c>
      <c r="D7" s="16" t="s">
        <v>55</v>
      </c>
    </row>
    <row r="8" customFormat="false" ht="15" hidden="false" customHeight="false" outlineLevel="0" collapsed="false">
      <c r="A8" s="13" t="s">
        <v>56</v>
      </c>
      <c r="B8" s="14" t="n">
        <v>1400</v>
      </c>
      <c r="C8" s="15" t="s">
        <v>57</v>
      </c>
      <c r="D8" s="16" t="s">
        <v>58</v>
      </c>
    </row>
    <row r="9" customFormat="false" ht="15" hidden="false" customHeight="false" outlineLevel="0" collapsed="false">
      <c r="A9" s="13" t="s">
        <v>59</v>
      </c>
      <c r="B9" s="18" t="n">
        <v>3</v>
      </c>
      <c r="C9" s="15" t="s">
        <v>60</v>
      </c>
      <c r="D9" s="16" t="s">
        <v>61</v>
      </c>
    </row>
    <row r="10" customFormat="false" ht="15" hidden="false" customHeight="false" outlineLevel="0" collapsed="false">
      <c r="A10" s="13" t="s">
        <v>62</v>
      </c>
      <c r="B10" s="19" t="n">
        <v>288</v>
      </c>
      <c r="C10" s="15" t="s">
        <v>63</v>
      </c>
      <c r="D10" s="16" t="s">
        <v>64</v>
      </c>
    </row>
    <row r="11" customFormat="false" ht="15" hidden="false" customHeight="false" outlineLevel="0" collapsed="false">
      <c r="A11" s="11" t="s">
        <v>65</v>
      </c>
      <c r="B11" s="12"/>
      <c r="C11" s="12"/>
      <c r="D11" s="12"/>
    </row>
    <row r="12" customFormat="false" ht="15" hidden="false" customHeight="false" outlineLevel="0" collapsed="false">
      <c r="A12" s="13" t="s">
        <v>66</v>
      </c>
      <c r="B12" s="14" t="n">
        <v>2</v>
      </c>
      <c r="C12" s="15" t="s">
        <v>67</v>
      </c>
      <c r="D12" s="16" t="s">
        <v>68</v>
      </c>
    </row>
    <row r="13" customFormat="false" ht="15" hidden="false" customHeight="false" outlineLevel="0" collapsed="false">
      <c r="A13" s="13" t="s">
        <v>69</v>
      </c>
      <c r="B13" s="17" t="n">
        <v>12500</v>
      </c>
      <c r="C13" s="15" t="s">
        <v>70</v>
      </c>
      <c r="D13" s="16" t="s">
        <v>71</v>
      </c>
    </row>
    <row r="14" customFormat="false" ht="15" hidden="false" customHeight="false" outlineLevel="0" collapsed="false">
      <c r="A14" s="13" t="s">
        <v>72</v>
      </c>
      <c r="B14" s="14" t="n">
        <v>350</v>
      </c>
      <c r="C14" s="15" t="s">
        <v>57</v>
      </c>
      <c r="D14" s="16" t="s">
        <v>73</v>
      </c>
    </row>
    <row r="15" customFormat="false" ht="15" hidden="false" customHeight="false" outlineLevel="0" collapsed="false">
      <c r="A15" s="13" t="s">
        <v>74</v>
      </c>
      <c r="B15" s="20" t="n">
        <v>5</v>
      </c>
      <c r="C15" s="15" t="s">
        <v>60</v>
      </c>
      <c r="D15" s="16" t="s">
        <v>75</v>
      </c>
    </row>
    <row r="16" customFormat="false" ht="15" hidden="false" customHeight="false" outlineLevel="0" collapsed="false">
      <c r="A16" s="11" t="s">
        <v>76</v>
      </c>
      <c r="B16" s="12"/>
      <c r="C16" s="12"/>
      <c r="D16" s="12"/>
    </row>
    <row r="17" customFormat="false" ht="15" hidden="false" customHeight="false" outlineLevel="0" collapsed="false">
      <c r="A17" s="13" t="s">
        <v>77</v>
      </c>
      <c r="B17" s="19" t="n">
        <v>3072</v>
      </c>
      <c r="C17" s="15" t="s">
        <v>63</v>
      </c>
      <c r="D17" s="16" t="s">
        <v>78</v>
      </c>
    </row>
    <row r="18" customFormat="false" ht="15" hidden="false" customHeight="false" outlineLevel="0" collapsed="false">
      <c r="A18" s="13" t="s">
        <v>79</v>
      </c>
      <c r="B18" s="21" t="n">
        <v>14</v>
      </c>
      <c r="C18" s="15" t="s">
        <v>80</v>
      </c>
      <c r="D18" s="16" t="s">
        <v>81</v>
      </c>
    </row>
    <row r="19" customFormat="false" ht="15" hidden="false" customHeight="false" outlineLevel="0" collapsed="false">
      <c r="A19" s="13" t="s">
        <v>82</v>
      </c>
      <c r="B19" s="14" t="n">
        <v>600</v>
      </c>
      <c r="C19" s="15" t="s">
        <v>57</v>
      </c>
      <c r="D19" s="16" t="s">
        <v>83</v>
      </c>
    </row>
    <row r="20" customFormat="false" ht="15" hidden="false" customHeight="false" outlineLevel="0" collapsed="false">
      <c r="A20" s="11" t="s">
        <v>84</v>
      </c>
      <c r="B20" s="12"/>
      <c r="C20" s="12"/>
      <c r="D20" s="12"/>
    </row>
    <row r="21" customFormat="false" ht="15" hidden="false" customHeight="false" outlineLevel="0" collapsed="false">
      <c r="A21" s="13" t="s">
        <v>85</v>
      </c>
      <c r="B21" s="17" t="n">
        <v>80000</v>
      </c>
      <c r="C21" s="15" t="s">
        <v>86</v>
      </c>
      <c r="D21" s="16" t="s">
        <v>87</v>
      </c>
    </row>
    <row r="22" customFormat="false" ht="15" hidden="false" customHeight="false" outlineLevel="0" collapsed="false">
      <c r="A22" s="13" t="s">
        <v>88</v>
      </c>
      <c r="B22" s="14" t="n">
        <v>1500</v>
      </c>
      <c r="C22" s="15" t="s">
        <v>57</v>
      </c>
      <c r="D22" s="16" t="s">
        <v>89</v>
      </c>
    </row>
    <row r="23" customFormat="false" ht="15" hidden="false" customHeight="false" outlineLevel="0" collapsed="false">
      <c r="A23" s="11" t="s">
        <v>90</v>
      </c>
      <c r="B23" s="12"/>
      <c r="C23" s="12"/>
      <c r="D23" s="12"/>
    </row>
    <row r="24" customFormat="false" ht="15" hidden="false" customHeight="false" outlineLevel="0" collapsed="false">
      <c r="A24" s="13" t="s">
        <v>91</v>
      </c>
      <c r="B24" s="22" t="n">
        <v>0.08</v>
      </c>
      <c r="C24" s="15" t="s">
        <v>92</v>
      </c>
      <c r="D24" s="16" t="s">
        <v>93</v>
      </c>
    </row>
    <row r="25" customFormat="false" ht="15" hidden="false" customHeight="false" outlineLevel="0" collapsed="false">
      <c r="A25" s="13" t="s">
        <v>94</v>
      </c>
      <c r="B25" s="23" t="n">
        <v>1.2</v>
      </c>
      <c r="C25" s="15" t="s">
        <v>95</v>
      </c>
      <c r="D25" s="16" t="s">
        <v>96</v>
      </c>
    </row>
    <row r="26" customFormat="false" ht="15" hidden="false" customHeight="false" outlineLevel="0" collapsed="false">
      <c r="A26" s="11" t="s">
        <v>97</v>
      </c>
      <c r="B26" s="12"/>
      <c r="C26" s="12"/>
      <c r="D26" s="12"/>
    </row>
    <row r="27" customFormat="false" ht="15" hidden="false" customHeight="false" outlineLevel="0" collapsed="false">
      <c r="A27" s="13" t="s">
        <v>98</v>
      </c>
      <c r="B27" s="24" t="n">
        <v>0.12</v>
      </c>
      <c r="C27" s="15" t="s">
        <v>99</v>
      </c>
      <c r="D27" s="16" t="s">
        <v>100</v>
      </c>
    </row>
    <row r="28" customFormat="false" ht="15" hidden="false" customHeight="false" outlineLevel="0" collapsed="false">
      <c r="A28" s="11" t="s">
        <v>101</v>
      </c>
      <c r="B28" s="12"/>
      <c r="C28" s="12"/>
      <c r="D28" s="12"/>
    </row>
    <row r="29" customFormat="false" ht="15" hidden="false" customHeight="false" outlineLevel="0" collapsed="false">
      <c r="A29" s="13" t="s">
        <v>102</v>
      </c>
      <c r="B29" s="19" t="n">
        <v>1600</v>
      </c>
      <c r="C29" s="15" t="s">
        <v>103</v>
      </c>
      <c r="D29" s="16" t="s">
        <v>104</v>
      </c>
    </row>
    <row r="30" customFormat="false" ht="15" hidden="false" customHeight="false" outlineLevel="0" collapsed="false">
      <c r="A30" s="13" t="s">
        <v>105</v>
      </c>
      <c r="B30" s="25" t="n">
        <v>49</v>
      </c>
      <c r="C30" s="15" t="s">
        <v>103</v>
      </c>
      <c r="D30" s="16" t="s">
        <v>106</v>
      </c>
    </row>
    <row r="31" customFormat="false" ht="15" hidden="false" customHeight="false" outlineLevel="0" collapsed="false">
      <c r="A31" s="13" t="s">
        <v>107</v>
      </c>
      <c r="B31" s="26" t="n">
        <v>0.5</v>
      </c>
      <c r="C31" s="15" t="s">
        <v>108</v>
      </c>
      <c r="D31" s="16" t="s">
        <v>109</v>
      </c>
    </row>
    <row r="32" customFormat="false" ht="15" hidden="false" customHeight="false" outlineLevel="0" collapsed="false">
      <c r="A32" s="13" t="s">
        <v>110</v>
      </c>
      <c r="B32" s="23" t="n">
        <v>0.1</v>
      </c>
      <c r="C32" s="15" t="s">
        <v>95</v>
      </c>
      <c r="D32" s="16" t="s">
        <v>111</v>
      </c>
    </row>
    <row r="33" customFormat="false" ht="15" hidden="false" customHeight="false" outlineLevel="0" collapsed="false">
      <c r="A33" s="13" t="s">
        <v>112</v>
      </c>
      <c r="B33" s="23" t="n">
        <v>0.27</v>
      </c>
      <c r="C33" s="15" t="s">
        <v>95</v>
      </c>
      <c r="D33" s="16" t="s">
        <v>113</v>
      </c>
    </row>
    <row r="34" customFormat="false" ht="15" hidden="false" customHeight="false" outlineLevel="0" collapsed="false">
      <c r="A34" s="13" t="s">
        <v>114</v>
      </c>
      <c r="B34" s="23" t="n">
        <v>1</v>
      </c>
      <c r="C34" s="15" t="s">
        <v>95</v>
      </c>
      <c r="D34" s="16" t="s">
        <v>115</v>
      </c>
    </row>
    <row r="35" customFormat="false" ht="15" hidden="false" customHeight="false" outlineLevel="0" collapsed="false">
      <c r="A35" s="11" t="s">
        <v>116</v>
      </c>
      <c r="B35" s="12"/>
      <c r="C35" s="12"/>
      <c r="D35" s="12"/>
    </row>
    <row r="36" customFormat="false" ht="15" hidden="false" customHeight="false" outlineLevel="0" collapsed="false">
      <c r="A36" s="13" t="s">
        <v>117</v>
      </c>
      <c r="B36" s="14" t="s">
        <v>118</v>
      </c>
      <c r="C36" s="15"/>
      <c r="D36" s="16" t="s">
        <v>119</v>
      </c>
    </row>
    <row r="37" customFormat="false" ht="15" hidden="false" customHeight="false" outlineLevel="0" collapsed="false">
      <c r="A37" s="13" t="s">
        <v>120</v>
      </c>
      <c r="B37" s="19" t="n">
        <v>46700</v>
      </c>
      <c r="C37" s="15" t="s">
        <v>121</v>
      </c>
      <c r="D37" s="16" t="s">
        <v>122</v>
      </c>
    </row>
    <row r="38" customFormat="false" ht="15" hidden="false" customHeight="false" outlineLevel="0" collapsed="false">
      <c r="A38" s="13" t="s">
        <v>123</v>
      </c>
      <c r="B38" s="19" t="n">
        <v>116800</v>
      </c>
      <c r="C38" s="15" t="s">
        <v>121</v>
      </c>
      <c r="D38" s="16" t="s">
        <v>124</v>
      </c>
    </row>
    <row r="39" customFormat="false" ht="15" hidden="false" customHeight="false" outlineLevel="0" collapsed="false">
      <c r="A39" s="13" t="s">
        <v>125</v>
      </c>
      <c r="B39" s="23" t="n">
        <v>1</v>
      </c>
      <c r="C39" s="15" t="s">
        <v>95</v>
      </c>
      <c r="D39" s="16" t="s">
        <v>126</v>
      </c>
    </row>
    <row r="40" customFormat="false" ht="15" hidden="false" customHeight="false" outlineLevel="0" collapsed="false">
      <c r="A40" s="13" t="s">
        <v>127</v>
      </c>
      <c r="B40" s="27" t="n">
        <v>0.7</v>
      </c>
      <c r="C40" s="15" t="s">
        <v>99</v>
      </c>
      <c r="D40" s="16" t="s">
        <v>128</v>
      </c>
    </row>
    <row r="41" customFormat="false" ht="15" hidden="false" customHeight="false" outlineLevel="0" collapsed="false">
      <c r="A41" s="11" t="s">
        <v>129</v>
      </c>
      <c r="B41" s="12"/>
      <c r="C41" s="12"/>
      <c r="D41" s="12"/>
    </row>
    <row r="42" customFormat="false" ht="15" hidden="false" customHeight="false" outlineLevel="0" collapsed="false">
      <c r="A42" s="13" t="s">
        <v>130</v>
      </c>
      <c r="B42" s="27" t="n">
        <v>0.5</v>
      </c>
      <c r="C42" s="15" t="s">
        <v>99</v>
      </c>
      <c r="D42" s="16" t="s">
        <v>131</v>
      </c>
    </row>
    <row r="43" customFormat="false" ht="15" hidden="false" customHeight="false" outlineLevel="0" collapsed="false">
      <c r="A43" s="13" t="s">
        <v>132</v>
      </c>
      <c r="B43" s="19" t="n">
        <v>500</v>
      </c>
      <c r="C43" s="15" t="s">
        <v>133</v>
      </c>
      <c r="D43" s="16" t="s">
        <v>134</v>
      </c>
    </row>
    <row r="44" customFormat="false" ht="15" hidden="false" customHeight="false" outlineLevel="0" collapsed="false">
      <c r="A44" s="11" t="s">
        <v>135</v>
      </c>
      <c r="B44" s="12"/>
      <c r="C44" s="12"/>
      <c r="D44" s="12"/>
    </row>
    <row r="45" customFormat="false" ht="15" hidden="false" customHeight="false" outlineLevel="0" collapsed="false">
      <c r="A45" s="13" t="s">
        <v>136</v>
      </c>
      <c r="B45" s="25" t="n">
        <v>80</v>
      </c>
      <c r="C45" s="15" t="s">
        <v>137</v>
      </c>
      <c r="D45" s="16" t="s">
        <v>138</v>
      </c>
    </row>
    <row r="46" customFormat="false" ht="15" hidden="false" customHeight="false" outlineLevel="0" collapsed="false">
      <c r="A46" s="13" t="s">
        <v>139</v>
      </c>
      <c r="B46" s="17" t="n">
        <v>750000</v>
      </c>
      <c r="C46" s="15" t="s">
        <v>140</v>
      </c>
      <c r="D46" s="16" t="s">
        <v>141</v>
      </c>
    </row>
    <row r="47" customFormat="false" ht="15" hidden="false" customHeight="false" outlineLevel="0" collapsed="false">
      <c r="A47" s="11" t="s">
        <v>142</v>
      </c>
      <c r="B47" s="12"/>
      <c r="C47" s="12"/>
      <c r="D47" s="12"/>
    </row>
    <row r="48" customFormat="false" ht="15" hidden="false" customHeight="false" outlineLevel="0" collapsed="false">
      <c r="A48" s="13" t="s">
        <v>143</v>
      </c>
      <c r="B48" s="19" t="n">
        <v>100000</v>
      </c>
      <c r="C48" s="15" t="s">
        <v>144</v>
      </c>
      <c r="D48" s="16" t="s">
        <v>145</v>
      </c>
    </row>
    <row r="49" customFormat="false" ht="15" hidden="false" customHeight="false" outlineLevel="0" collapsed="false">
      <c r="A49" s="13" t="s">
        <v>146</v>
      </c>
      <c r="B49" s="19" t="n">
        <v>30000</v>
      </c>
      <c r="C49" s="15" t="s">
        <v>144</v>
      </c>
      <c r="D49" s="16" t="s">
        <v>147</v>
      </c>
    </row>
    <row r="50" customFormat="false" ht="15" hidden="false" customHeight="false" outlineLevel="0" collapsed="false">
      <c r="A50" s="13" t="s">
        <v>148</v>
      </c>
      <c r="B50" s="19" t="n">
        <v>25</v>
      </c>
      <c r="C50" s="15" t="s">
        <v>149</v>
      </c>
      <c r="D50" s="16" t="s">
        <v>42</v>
      </c>
    </row>
    <row r="51" customFormat="false" ht="15" hidden="false" customHeight="false" outlineLevel="0" collapsed="false">
      <c r="A51" s="11" t="s">
        <v>150</v>
      </c>
      <c r="B51" s="12"/>
      <c r="C51" s="12"/>
      <c r="D51" s="12"/>
    </row>
    <row r="52" customFormat="false" ht="15" hidden="false" customHeight="false" outlineLevel="0" collapsed="false">
      <c r="A52" s="13" t="s">
        <v>151</v>
      </c>
      <c r="B52" s="21" t="n">
        <v>5</v>
      </c>
      <c r="C52" s="15" t="s">
        <v>152</v>
      </c>
      <c r="D52" s="16" t="s">
        <v>153</v>
      </c>
    </row>
    <row r="53" customFormat="false" ht="15" hidden="false" customHeight="false" outlineLevel="0" collapsed="false">
      <c r="A53" s="13" t="s">
        <v>154</v>
      </c>
      <c r="B53" s="21" t="n">
        <v>25</v>
      </c>
      <c r="C53" s="15" t="s">
        <v>152</v>
      </c>
      <c r="D53" s="16" t="s">
        <v>155</v>
      </c>
    </row>
    <row r="54" customFormat="false" ht="15" hidden="false" customHeight="false" outlineLevel="0" collapsed="false">
      <c r="A54" s="11" t="s">
        <v>156</v>
      </c>
      <c r="B54" s="12"/>
      <c r="C54" s="12"/>
      <c r="D54" s="12"/>
    </row>
    <row r="55" customFormat="false" ht="15" hidden="false" customHeight="false" outlineLevel="0" collapsed="false">
      <c r="A55" s="13" t="s">
        <v>157</v>
      </c>
      <c r="B55" s="17" t="n">
        <v>100000000</v>
      </c>
      <c r="C55" s="15" t="s">
        <v>158</v>
      </c>
      <c r="D55" s="16" t="s">
        <v>159</v>
      </c>
    </row>
    <row r="56" customFormat="false" ht="15" hidden="false" customHeight="false" outlineLevel="0" collapsed="false">
      <c r="A56" s="13" t="s">
        <v>160</v>
      </c>
      <c r="B56" s="19" t="n">
        <v>100</v>
      </c>
      <c r="C56" s="15" t="s">
        <v>161</v>
      </c>
      <c r="D56" s="16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5" min="4" style="0" width="15"/>
    <col collapsed="false" customWidth="true" hidden="false" outlineLevel="0" max="6" min="6" style="0" width="2"/>
  </cols>
  <sheetData>
    <row r="1" customFormat="false" ht="16.15" hidden="false" customHeight="false" outlineLevel="0" collapsed="false">
      <c r="A1" s="28" t="s">
        <v>163</v>
      </c>
      <c r="B1" s="7"/>
      <c r="C1" s="7"/>
      <c r="D1" s="7"/>
      <c r="E1" s="7"/>
    </row>
    <row r="2" customFormat="false" ht="15" hidden="false" customHeight="false" outlineLevel="0" collapsed="false">
      <c r="A2" s="8" t="s">
        <v>164</v>
      </c>
    </row>
    <row r="3" customFormat="false" ht="15" hidden="false" customHeight="false" outlineLevel="0" collapsed="false">
      <c r="A3" s="29" t="s">
        <v>165</v>
      </c>
      <c r="B3" s="30"/>
      <c r="C3" s="30"/>
      <c r="D3" s="30"/>
    </row>
    <row r="4" customFormat="false" ht="15" hidden="false" customHeight="false" outlineLevel="0" collapsed="false">
      <c r="A4" s="3" t="s">
        <v>166</v>
      </c>
      <c r="B4" s="31" t="n">
        <v>8760</v>
      </c>
      <c r="C4" s="32" t="s">
        <v>167</v>
      </c>
    </row>
    <row r="6" customFormat="false" ht="15" hidden="false" customHeight="false" outlineLevel="0" collapsed="false">
      <c r="A6" s="29" t="s">
        <v>168</v>
      </c>
      <c r="B6" s="30"/>
      <c r="C6" s="30"/>
      <c r="D6" s="30"/>
    </row>
    <row r="7" customFormat="false" ht="15" hidden="false" customHeight="false" outlineLevel="0" collapsed="false">
      <c r="A7" s="3" t="s">
        <v>169</v>
      </c>
      <c r="B7" s="33" t="n">
        <f aca="false">Inputs!B27</f>
        <v>0.12</v>
      </c>
    </row>
    <row r="8" customFormat="false" ht="15" hidden="false" customHeight="false" outlineLevel="0" collapsed="false">
      <c r="A8" s="3" t="s">
        <v>170</v>
      </c>
      <c r="B8" s="34" t="n">
        <f aca="false">Inputs!B9</f>
        <v>3</v>
      </c>
    </row>
    <row r="9" customFormat="false" ht="15" hidden="false" customHeight="false" outlineLevel="0" collapsed="false">
      <c r="A9" s="3" t="s">
        <v>171</v>
      </c>
      <c r="B9" s="34" t="n">
        <f aca="false">Inputs!B15</f>
        <v>5</v>
      </c>
    </row>
    <row r="10" customFormat="false" ht="15" hidden="false" customHeight="false" outlineLevel="0" collapsed="false">
      <c r="A10" s="3" t="s">
        <v>172</v>
      </c>
      <c r="B10" s="35" t="n">
        <f aca="false">IF($B$7=0,1/B8,$B$7*(1+$B$7)^B8/((1+$B$7)^B8-1))</f>
        <v>0.416348980559507</v>
      </c>
      <c r="C10" s="36" t="s">
        <v>173</v>
      </c>
    </row>
    <row r="11" customFormat="false" ht="15" hidden="false" customHeight="false" outlineLevel="0" collapsed="false">
      <c r="A11" s="3" t="s">
        <v>174</v>
      </c>
      <c r="B11" s="35" t="n">
        <f aca="false">IF($B$7=0,1/B9,$B$7*(1+$B$7)^B9/((1+$B$7)^B9-1))</f>
        <v>0.277409731941049</v>
      </c>
      <c r="C11" s="36" t="s">
        <v>173</v>
      </c>
    </row>
    <row r="13" customFormat="false" ht="15" hidden="false" customHeight="false" outlineLevel="0" collapsed="false">
      <c r="A13" s="29" t="s">
        <v>175</v>
      </c>
      <c r="B13" s="30"/>
      <c r="C13" s="30"/>
      <c r="D13" s="30"/>
    </row>
    <row r="14" customFormat="false" ht="15" hidden="false" customHeight="false" outlineLevel="0" collapsed="false">
      <c r="A14" s="37" t="s">
        <v>176</v>
      </c>
      <c r="B14" s="38" t="s">
        <v>177</v>
      </c>
      <c r="C14" s="38" t="s">
        <v>178</v>
      </c>
      <c r="D14" s="38" t="s">
        <v>179</v>
      </c>
      <c r="E14" s="38" t="s">
        <v>180</v>
      </c>
    </row>
    <row r="15" customFormat="false" ht="15" hidden="false" customHeight="false" outlineLevel="0" collapsed="false">
      <c r="A15" s="3" t="s">
        <v>181</v>
      </c>
      <c r="B15" s="39" t="n">
        <f aca="false">Inputs!B6*Inputs!B7</f>
        <v>384000</v>
      </c>
      <c r="C15" s="35" t="n">
        <f aca="false">$B$10</f>
        <v>0.416348980559507</v>
      </c>
      <c r="D15" s="39" t="n">
        <f aca="false">B15*C15</f>
        <v>159878.008534851</v>
      </c>
      <c r="E15" s="40" t="n">
        <f aca="false">D15/$B$4</f>
        <v>18.2509142163071</v>
      </c>
    </row>
    <row r="16" customFormat="false" ht="15" hidden="false" customHeight="false" outlineLevel="0" collapsed="false">
      <c r="A16" s="3" t="s">
        <v>182</v>
      </c>
      <c r="B16" s="39" t="n">
        <f aca="false">Inputs!B12*Inputs!B13</f>
        <v>25000</v>
      </c>
      <c r="C16" s="35" t="n">
        <f aca="false">$B$11</f>
        <v>0.277409731941049</v>
      </c>
      <c r="D16" s="39" t="n">
        <f aca="false">B16*C16</f>
        <v>6935.24329852622</v>
      </c>
      <c r="E16" s="40" t="n">
        <f aca="false">D16/$B$4</f>
        <v>0.79169444047103</v>
      </c>
    </row>
    <row r="17" customFormat="false" ht="15" hidden="false" customHeight="false" outlineLevel="0" collapsed="false">
      <c r="A17" s="3" t="s">
        <v>183</v>
      </c>
      <c r="B17" s="39" t="n">
        <f aca="false">Inputs!B17*Inputs!B18</f>
        <v>43008</v>
      </c>
      <c r="C17" s="35" t="n">
        <f aca="false">$B$11</f>
        <v>0.277409731941049</v>
      </c>
      <c r="D17" s="39" t="n">
        <f aca="false">B17*C17</f>
        <v>11930.8377513206</v>
      </c>
      <c r="E17" s="40" t="n">
        <f aca="false">D17/$B$4</f>
        <v>1.36196777983112</v>
      </c>
    </row>
    <row r="18" customFormat="false" ht="15" hidden="false" customHeight="false" outlineLevel="0" collapsed="false">
      <c r="A18" s="3" t="s">
        <v>184</v>
      </c>
      <c r="B18" s="39" t="n">
        <f aca="false">Inputs!B21</f>
        <v>80000</v>
      </c>
      <c r="C18" s="35" t="n">
        <f aca="false">$B$11</f>
        <v>0.277409731941049</v>
      </c>
      <c r="D18" s="39" t="n">
        <f aca="false">B18*C18</f>
        <v>22192.7785552839</v>
      </c>
      <c r="E18" s="40" t="n">
        <f aca="false">D18/$B$4</f>
        <v>2.53342220950729</v>
      </c>
    </row>
    <row r="19" customFormat="false" ht="15" hidden="false" customHeight="false" outlineLevel="0" collapsed="false">
      <c r="A19" s="41" t="s">
        <v>185</v>
      </c>
      <c r="B19" s="42" t="n">
        <f aca="false">SUM(B15:B18)</f>
        <v>532008</v>
      </c>
      <c r="C19" s="43"/>
      <c r="D19" s="42" t="n">
        <f aca="false">SUM(D15:D18)</f>
        <v>200936.868139981</v>
      </c>
      <c r="E19" s="44" t="n">
        <f aca="false">SUM(E15:E18)</f>
        <v>22.9379986461166</v>
      </c>
    </row>
    <row r="21" customFormat="false" ht="15" hidden="false" customHeight="false" outlineLevel="0" collapsed="false">
      <c r="A21" s="29" t="s">
        <v>186</v>
      </c>
      <c r="B21" s="30"/>
      <c r="C21" s="30"/>
      <c r="D21" s="30"/>
    </row>
    <row r="22" customFormat="false" ht="15" hidden="false" customHeight="false" outlineLevel="0" collapsed="false">
      <c r="A22" s="3" t="s">
        <v>187</v>
      </c>
      <c r="B22" s="45" t="n">
        <f aca="false">Inputs!B7*Inputs!B8/1000</f>
        <v>11.2</v>
      </c>
      <c r="C22" s="32" t="s">
        <v>188</v>
      </c>
    </row>
    <row r="23" customFormat="false" ht="15" hidden="false" customHeight="false" outlineLevel="0" collapsed="false">
      <c r="A23" s="3" t="s">
        <v>189</v>
      </c>
      <c r="B23" s="45" t="n">
        <f aca="false">Inputs!B12*Inputs!B14/1000</f>
        <v>0.7</v>
      </c>
      <c r="C23" s="32" t="s">
        <v>188</v>
      </c>
    </row>
    <row r="24" customFormat="false" ht="15" hidden="false" customHeight="false" outlineLevel="0" collapsed="false">
      <c r="A24" s="3" t="s">
        <v>190</v>
      </c>
      <c r="B24" s="45" t="n">
        <f aca="false">Inputs!B19/1000</f>
        <v>0.6</v>
      </c>
      <c r="C24" s="32" t="s">
        <v>188</v>
      </c>
    </row>
    <row r="25" customFormat="false" ht="15" hidden="false" customHeight="false" outlineLevel="0" collapsed="false">
      <c r="A25" s="3" t="s">
        <v>191</v>
      </c>
      <c r="B25" s="45" t="n">
        <f aca="false">Inputs!B22/1000</f>
        <v>1.5</v>
      </c>
      <c r="C25" s="32" t="s">
        <v>188</v>
      </c>
    </row>
    <row r="26" customFormat="false" ht="15" hidden="false" customHeight="false" outlineLevel="0" collapsed="false">
      <c r="A26" s="3" t="s">
        <v>192</v>
      </c>
      <c r="B26" s="46" t="n">
        <f aca="false">SUM(B22:B25)</f>
        <v>14</v>
      </c>
      <c r="C26" s="32" t="s">
        <v>188</v>
      </c>
    </row>
    <row r="27" customFormat="false" ht="15" hidden="false" customHeight="false" outlineLevel="0" collapsed="false">
      <c r="A27" s="3" t="s">
        <v>94</v>
      </c>
      <c r="B27" s="47" t="n">
        <f aca="false">Inputs!B25</f>
        <v>1.2</v>
      </c>
    </row>
    <row r="28" customFormat="false" ht="15" hidden="false" customHeight="false" outlineLevel="0" collapsed="false">
      <c r="A28" s="3" t="s">
        <v>193</v>
      </c>
      <c r="B28" s="46" t="n">
        <f aca="false">B26*B27</f>
        <v>16.8</v>
      </c>
      <c r="C28" s="32" t="s">
        <v>188</v>
      </c>
    </row>
    <row r="29" customFormat="false" ht="15" hidden="false" customHeight="false" outlineLevel="0" collapsed="false">
      <c r="A29" s="3" t="s">
        <v>91</v>
      </c>
      <c r="B29" s="48" t="n">
        <f aca="false">Inputs!B24</f>
        <v>0.08</v>
      </c>
    </row>
    <row r="30" customFormat="false" ht="15" hidden="false" customHeight="false" outlineLevel="0" collapsed="false">
      <c r="A30" s="41" t="s">
        <v>194</v>
      </c>
      <c r="B30" s="49" t="n">
        <f aca="false">B28*B29</f>
        <v>1.344</v>
      </c>
      <c r="C30" s="32" t="s">
        <v>195</v>
      </c>
    </row>
    <row r="32" customFormat="false" ht="15" hidden="false" customHeight="false" outlineLevel="0" collapsed="false">
      <c r="A32" s="29" t="s">
        <v>196</v>
      </c>
      <c r="B32" s="30"/>
      <c r="C32" s="30"/>
      <c r="D32" s="30"/>
    </row>
    <row r="33" customFormat="false" ht="15" hidden="false" customHeight="false" outlineLevel="0" collapsed="false">
      <c r="A33" s="3" t="s">
        <v>136</v>
      </c>
      <c r="B33" s="50" t="n">
        <f aca="false">Inputs!B45</f>
        <v>80</v>
      </c>
    </row>
    <row r="34" customFormat="false" ht="15" hidden="false" customHeight="false" outlineLevel="0" collapsed="false">
      <c r="A34" s="3" t="s">
        <v>139</v>
      </c>
      <c r="B34" s="51" t="n">
        <f aca="false">Inputs!B46</f>
        <v>750000</v>
      </c>
    </row>
    <row r="35" customFormat="false" ht="15" hidden="false" customHeight="false" outlineLevel="0" collapsed="false">
      <c r="A35" s="3" t="s">
        <v>197</v>
      </c>
      <c r="B35" s="52" t="n">
        <f aca="false">B33*B34</f>
        <v>60000000</v>
      </c>
    </row>
    <row r="36" customFormat="false" ht="15" hidden="false" customHeight="false" outlineLevel="0" collapsed="false">
      <c r="A36" s="3" t="s">
        <v>198</v>
      </c>
      <c r="B36" s="50" t="n">
        <f aca="false">Inputs!B43</f>
        <v>500</v>
      </c>
    </row>
    <row r="37" customFormat="false" ht="15" hidden="false" customHeight="false" outlineLevel="0" collapsed="false">
      <c r="A37" s="41" t="s">
        <v>199</v>
      </c>
      <c r="B37" s="49" t="n">
        <f aca="false">B35/(B36*$B$4)</f>
        <v>13.6986301369863</v>
      </c>
      <c r="C37" s="32" t="s">
        <v>195</v>
      </c>
    </row>
    <row r="39" customFormat="false" ht="15" hidden="false" customHeight="false" outlineLevel="0" collapsed="false">
      <c r="A39" s="29" t="s">
        <v>200</v>
      </c>
      <c r="B39" s="30"/>
      <c r="C39" s="30"/>
      <c r="D39" s="30"/>
    </row>
    <row r="40" customFormat="false" ht="15" hidden="false" customHeight="false" outlineLevel="0" collapsed="false">
      <c r="A40" s="9" t="s">
        <v>201</v>
      </c>
      <c r="B40" s="10" t="s">
        <v>180</v>
      </c>
      <c r="C40" s="10" t="s">
        <v>202</v>
      </c>
    </row>
    <row r="41" customFormat="false" ht="15" hidden="false" customHeight="false" outlineLevel="0" collapsed="false">
      <c r="A41" s="3" t="s">
        <v>181</v>
      </c>
      <c r="B41" s="40" t="n">
        <f aca="false">E15</f>
        <v>18.2509142163071</v>
      </c>
      <c r="C41" s="53" t="n">
        <f aca="false">B41/$B$47</f>
        <v>0.480532176561193</v>
      </c>
    </row>
    <row r="42" customFormat="false" ht="15" hidden="false" customHeight="false" outlineLevel="0" collapsed="false">
      <c r="A42" s="3" t="s">
        <v>182</v>
      </c>
      <c r="B42" s="40" t="n">
        <f aca="false">E16</f>
        <v>0.79169444047103</v>
      </c>
      <c r="C42" s="53" t="n">
        <f aca="false">B42/$B$47</f>
        <v>0.0208446901969997</v>
      </c>
    </row>
    <row r="43" customFormat="false" ht="15" hidden="false" customHeight="false" outlineLevel="0" collapsed="false">
      <c r="A43" s="3" t="s">
        <v>203</v>
      </c>
      <c r="B43" s="40" t="n">
        <f aca="false">E17</f>
        <v>1.36196777983112</v>
      </c>
      <c r="C43" s="53" t="n">
        <f aca="false">B43/$B$47</f>
        <v>0.0358595374397025</v>
      </c>
    </row>
    <row r="44" customFormat="false" ht="15" hidden="false" customHeight="false" outlineLevel="0" collapsed="false">
      <c r="A44" s="3" t="s">
        <v>184</v>
      </c>
      <c r="B44" s="40" t="n">
        <f aca="false">E18</f>
        <v>2.53342220950729</v>
      </c>
      <c r="C44" s="53" t="n">
        <f aca="false">B44/$B$47</f>
        <v>0.0667030086303991</v>
      </c>
    </row>
    <row r="45" customFormat="false" ht="15" hidden="false" customHeight="false" outlineLevel="0" collapsed="false">
      <c r="A45" s="3" t="s">
        <v>204</v>
      </c>
      <c r="B45" s="40" t="n">
        <f aca="false">B30</f>
        <v>1.344</v>
      </c>
      <c r="C45" s="53" t="n">
        <f aca="false">B45/$B$47</f>
        <v>0.0353864599681912</v>
      </c>
    </row>
    <row r="46" customFormat="false" ht="15" hidden="false" customHeight="false" outlineLevel="0" collapsed="false">
      <c r="A46" s="3" t="s">
        <v>205</v>
      </c>
      <c r="B46" s="40" t="n">
        <f aca="false">B37</f>
        <v>13.6986301369863</v>
      </c>
      <c r="C46" s="53" t="n">
        <f aca="false">B46/$B$47</f>
        <v>0.360674127203514</v>
      </c>
    </row>
    <row r="47" customFormat="false" ht="15" hidden="false" customHeight="false" outlineLevel="0" collapsed="false">
      <c r="A47" s="54" t="s">
        <v>206</v>
      </c>
      <c r="B47" s="44" t="n">
        <f aca="false">SUM(B41:B46)</f>
        <v>37.9806287831029</v>
      </c>
      <c r="C47" s="55" t="n">
        <f aca="false">SUM(C41:C46)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52"/>
  </cols>
  <sheetData>
    <row r="1" customFormat="false" ht="15" hidden="false" customHeight="false" outlineLevel="0" collapsed="false">
      <c r="A1" s="56" t="s">
        <v>207</v>
      </c>
      <c r="B1" s="7"/>
      <c r="C1" s="7"/>
      <c r="D1" s="7"/>
    </row>
    <row r="2" customFormat="false" ht="15" hidden="false" customHeight="false" outlineLevel="0" collapsed="false">
      <c r="A2" s="8" t="s">
        <v>208</v>
      </c>
    </row>
    <row r="3" customFormat="false" ht="15" hidden="false" customHeight="false" outlineLevel="0" collapsed="false">
      <c r="A3" s="29" t="s">
        <v>209</v>
      </c>
      <c r="B3" s="30"/>
      <c r="C3" s="30"/>
      <c r="D3" s="30"/>
    </row>
    <row r="4" customFormat="false" ht="15" hidden="false" customHeight="false" outlineLevel="0" collapsed="false">
      <c r="A4" s="3" t="s">
        <v>210</v>
      </c>
      <c r="B4" s="50" t="n">
        <f aca="false">Inputs!B37</f>
        <v>46700</v>
      </c>
      <c r="C4" s="32" t="s">
        <v>121</v>
      </c>
      <c r="D4" s="36" t="s">
        <v>211</v>
      </c>
    </row>
    <row r="5" customFormat="false" ht="15" hidden="false" customHeight="false" outlineLevel="0" collapsed="false">
      <c r="A5" s="3" t="s">
        <v>212</v>
      </c>
      <c r="B5" s="50" t="n">
        <f aca="false">Inputs!B38</f>
        <v>116800</v>
      </c>
      <c r="C5" s="32" t="s">
        <v>121</v>
      </c>
      <c r="D5" s="36" t="s">
        <v>213</v>
      </c>
    </row>
    <row r="6" customFormat="false" ht="15" hidden="false" customHeight="false" outlineLevel="0" collapsed="false">
      <c r="A6" s="3" t="s">
        <v>214</v>
      </c>
      <c r="B6" s="57" t="n">
        <v>37</v>
      </c>
      <c r="C6" s="32" t="s">
        <v>103</v>
      </c>
      <c r="D6" s="36" t="s">
        <v>215</v>
      </c>
    </row>
    <row r="8" customFormat="false" ht="15" hidden="false" customHeight="false" outlineLevel="0" collapsed="false">
      <c r="A8" s="29" t="s">
        <v>216</v>
      </c>
      <c r="B8" s="30"/>
      <c r="C8" s="30"/>
      <c r="D8" s="30"/>
    </row>
    <row r="9" customFormat="false" ht="15" hidden="false" customHeight="false" outlineLevel="0" collapsed="false">
      <c r="A9" s="3" t="s">
        <v>125</v>
      </c>
      <c r="B9" s="47" t="n">
        <f aca="false">Inputs!B39</f>
        <v>1</v>
      </c>
      <c r="C9" s="32" t="s">
        <v>95</v>
      </c>
      <c r="D9" s="36" t="s">
        <v>217</v>
      </c>
    </row>
    <row r="10" customFormat="false" ht="15" hidden="false" customHeight="false" outlineLevel="0" collapsed="false">
      <c r="A10" s="3" t="s">
        <v>218</v>
      </c>
      <c r="B10" s="47" t="n">
        <f aca="false">Inputs!B34</f>
        <v>1</v>
      </c>
      <c r="C10" s="32" t="s">
        <v>95</v>
      </c>
      <c r="D10" s="36" t="s">
        <v>219</v>
      </c>
    </row>
    <row r="11" customFormat="false" ht="15" hidden="false" customHeight="false" outlineLevel="0" collapsed="false">
      <c r="A11" s="3" t="s">
        <v>127</v>
      </c>
      <c r="B11" s="33" t="n">
        <f aca="false">Inputs!B40</f>
        <v>0.7</v>
      </c>
      <c r="C11" s="32" t="s">
        <v>99</v>
      </c>
      <c r="D11" s="36" t="s">
        <v>220</v>
      </c>
    </row>
    <row r="12" customFormat="false" ht="15" hidden="false" customHeight="false" outlineLevel="0" collapsed="false">
      <c r="A12" s="3" t="s">
        <v>221</v>
      </c>
      <c r="B12" s="58" t="n">
        <f aca="false">B6/Inputs!B30</f>
        <v>0.755102040816327</v>
      </c>
      <c r="C12" s="32" t="s">
        <v>95</v>
      </c>
      <c r="D12" s="36" t="s">
        <v>222</v>
      </c>
    </row>
    <row r="14" customFormat="false" ht="15" hidden="false" customHeight="false" outlineLevel="0" collapsed="false">
      <c r="A14" s="29" t="s">
        <v>223</v>
      </c>
      <c r="B14" s="30"/>
      <c r="C14" s="30"/>
      <c r="D14" s="30"/>
    </row>
    <row r="15" customFormat="false" ht="15" hidden="false" customHeight="false" outlineLevel="0" collapsed="false">
      <c r="A15" s="3" t="s">
        <v>224</v>
      </c>
      <c r="B15" s="31" t="n">
        <f aca="false">B4*B9*B10*B11*B12</f>
        <v>24684.2857142857</v>
      </c>
      <c r="C15" s="32" t="s">
        <v>121</v>
      </c>
      <c r="D15" s="36" t="s">
        <v>225</v>
      </c>
    </row>
    <row r="16" customFormat="false" ht="15" hidden="false" customHeight="false" outlineLevel="0" collapsed="false">
      <c r="A16" s="3" t="s">
        <v>226</v>
      </c>
      <c r="B16" s="31" t="n">
        <f aca="false">B5*B9*B11*B12</f>
        <v>61737.1428571429</v>
      </c>
      <c r="C16" s="32" t="s">
        <v>121</v>
      </c>
      <c r="D16" s="36" t="s">
        <v>227</v>
      </c>
    </row>
    <row r="17" customFormat="false" ht="15" hidden="false" customHeight="false" outlineLevel="0" collapsed="false">
      <c r="A17" s="3" t="s">
        <v>228</v>
      </c>
      <c r="B17" s="31" t="n">
        <f aca="false">B15/Inputs!B7</f>
        <v>3085.53571428571</v>
      </c>
      <c r="C17" s="32" t="s">
        <v>121</v>
      </c>
      <c r="D17" s="36" t="s">
        <v>229</v>
      </c>
    </row>
    <row r="18" customFormat="false" ht="15" hidden="false" customHeight="false" outlineLevel="0" collapsed="false">
      <c r="A18" s="3" t="s">
        <v>230</v>
      </c>
      <c r="B18" s="31" t="n">
        <f aca="false">B16/Inputs!B7</f>
        <v>7717.14285714286</v>
      </c>
      <c r="C18" s="32" t="s">
        <v>121</v>
      </c>
      <c r="D18" s="36" t="s">
        <v>229</v>
      </c>
    </row>
    <row r="20" customFormat="false" ht="15" hidden="false" customHeight="false" outlineLevel="0" collapsed="false">
      <c r="A20" s="29" t="s">
        <v>231</v>
      </c>
      <c r="B20" s="30"/>
      <c r="C20" s="30"/>
      <c r="D20" s="30"/>
    </row>
    <row r="21" customFormat="false" ht="15" hidden="false" customHeight="false" outlineLevel="0" collapsed="false">
      <c r="A21" s="3" t="s">
        <v>232</v>
      </c>
      <c r="B21" s="33" t="n">
        <f aca="false">Inputs!B42</f>
        <v>0.5</v>
      </c>
      <c r="C21" s="32" t="s">
        <v>99</v>
      </c>
      <c r="D21" s="36" t="s">
        <v>233</v>
      </c>
    </row>
    <row r="22" customFormat="false" ht="15" hidden="false" customHeight="false" outlineLevel="0" collapsed="false">
      <c r="A22" s="3" t="s">
        <v>234</v>
      </c>
      <c r="B22" s="31" t="n">
        <f aca="false">B15*3600*B21</f>
        <v>44431714.2857143</v>
      </c>
      <c r="C22" s="32" t="s">
        <v>235</v>
      </c>
      <c r="D22" s="36" t="s">
        <v>236</v>
      </c>
    </row>
    <row r="23" customFormat="false" ht="15" hidden="false" customHeight="false" outlineLevel="0" collapsed="false">
      <c r="A23" s="3" t="s">
        <v>237</v>
      </c>
      <c r="B23" s="31" t="n">
        <f aca="false">B16*3600*B21</f>
        <v>111126857.142857</v>
      </c>
      <c r="C23" s="32" t="s">
        <v>235</v>
      </c>
      <c r="D23" s="36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6"/>
    <col collapsed="false" customWidth="true" hidden="false" outlineLevel="0" max="4" min="4" style="0" width="13"/>
    <col collapsed="false" customWidth="true" hidden="false" outlineLevel="0" max="5" min="5" style="0" width="40"/>
  </cols>
  <sheetData>
    <row r="1" customFormat="false" ht="16.15" hidden="false" customHeight="false" outlineLevel="0" collapsed="false">
      <c r="A1" s="28" t="s">
        <v>239</v>
      </c>
      <c r="B1" s="7"/>
      <c r="C1" s="7"/>
      <c r="D1" s="7"/>
      <c r="E1" s="7"/>
    </row>
    <row r="2" customFormat="false" ht="15" hidden="false" customHeight="false" outlineLevel="0" collapsed="false">
      <c r="A2" s="8" t="s">
        <v>240</v>
      </c>
    </row>
    <row r="3" customFormat="false" ht="15" hidden="false" customHeight="false" outlineLevel="0" collapsed="false">
      <c r="A3" s="59" t="s">
        <v>241</v>
      </c>
      <c r="B3" s="60"/>
      <c r="C3" s="60"/>
    </row>
    <row r="4" customFormat="false" ht="15" hidden="false" customHeight="false" outlineLevel="0" collapsed="false">
      <c r="A4" s="61" t="s">
        <v>242</v>
      </c>
      <c r="B4" s="62" t="n">
        <f aca="false">B19</f>
        <v>0.854808989337475</v>
      </c>
      <c r="C4" s="63"/>
    </row>
    <row r="5" customFormat="false" ht="15" hidden="false" customHeight="false" outlineLevel="0" collapsed="false">
      <c r="A5" s="61" t="s">
        <v>243</v>
      </c>
      <c r="B5" s="62" t="n">
        <f aca="false">C19</f>
        <v>0.341777224332706</v>
      </c>
      <c r="C5" s="63"/>
    </row>
    <row r="6" customFormat="false" ht="15" hidden="false" customHeight="false" outlineLevel="0" collapsed="false">
      <c r="A6" s="61" t="s">
        <v>244</v>
      </c>
      <c r="B6" s="62" t="n">
        <f aca="false">B26</f>
        <v>0.0598219921133949</v>
      </c>
      <c r="C6" s="63"/>
    </row>
    <row r="7" customFormat="false" ht="15" hidden="false" customHeight="false" outlineLevel="0" collapsed="false">
      <c r="A7" s="61" t="s">
        <v>245</v>
      </c>
      <c r="B7" s="64" t="n">
        <f aca="false">B30</f>
        <v>1.49554980283487</v>
      </c>
      <c r="C7" s="63"/>
    </row>
    <row r="8" customFormat="false" ht="15" hidden="false" customHeight="false" outlineLevel="0" collapsed="false">
      <c r="A8" s="61" t="s">
        <v>246</v>
      </c>
      <c r="B8" s="65" t="n">
        <f aca="false">B39</f>
        <v>0.0478575936907159</v>
      </c>
      <c r="C8" s="63"/>
    </row>
    <row r="9" customFormat="false" ht="15" hidden="false" customHeight="false" outlineLevel="0" collapsed="false">
      <c r="A9" s="61" t="s">
        <v>247</v>
      </c>
      <c r="B9" s="65" t="n">
        <f aca="false">B40</f>
        <v>0.952142406309284</v>
      </c>
      <c r="C9" s="63"/>
    </row>
    <row r="11" customFormat="false" ht="15" hidden="false" customHeight="false" outlineLevel="0" collapsed="false">
      <c r="A11" s="59" t="s">
        <v>248</v>
      </c>
      <c r="B11" s="60"/>
      <c r="C11" s="60"/>
      <c r="D11" s="60"/>
    </row>
    <row r="12" customFormat="false" ht="15" hidden="false" customHeight="false" outlineLevel="0" collapsed="false">
      <c r="A12" s="66" t="s">
        <v>201</v>
      </c>
      <c r="B12" s="10" t="s">
        <v>249</v>
      </c>
      <c r="C12" s="10" t="s">
        <v>250</v>
      </c>
      <c r="D12" s="10" t="s">
        <v>202</v>
      </c>
    </row>
    <row r="13" customFormat="false" ht="15" hidden="false" customHeight="false" outlineLevel="0" collapsed="false">
      <c r="A13" s="3" t="s">
        <v>181</v>
      </c>
      <c r="B13" s="48" t="n">
        <f aca="false">'Node Economics'!B41/Throughput!B22*1000000</f>
        <v>0.410763224190411</v>
      </c>
      <c r="C13" s="48" t="n">
        <f aca="false">'Node Economics'!B41/Throughput!B23*1000000</f>
        <v>0.164234953507639</v>
      </c>
      <c r="D13" s="53" t="n">
        <f aca="false">B13/$B$19</f>
        <v>0.480532176561193</v>
      </c>
    </row>
    <row r="14" customFormat="false" ht="15" hidden="false" customHeight="false" outlineLevel="0" collapsed="false">
      <c r="A14" s="3" t="s">
        <v>182</v>
      </c>
      <c r="B14" s="48" t="n">
        <f aca="false">'Node Economics'!B42/Throughput!B22*1000000</f>
        <v>0.0178182285603501</v>
      </c>
      <c r="C14" s="48" t="n">
        <f aca="false">'Node Economics'!B42/Throughput!B23*1000000</f>
        <v>0.00712424035760573</v>
      </c>
      <c r="D14" s="53" t="n">
        <f aca="false">B14/$B$19</f>
        <v>0.0208446901969997</v>
      </c>
    </row>
    <row r="15" customFormat="false" ht="15" hidden="false" customHeight="false" outlineLevel="0" collapsed="false">
      <c r="A15" s="3" t="s">
        <v>203</v>
      </c>
      <c r="B15" s="48" t="n">
        <f aca="false">'Node Economics'!B43/Throughput!B22*1000000</f>
        <v>0.0306530549569415</v>
      </c>
      <c r="C15" s="48" t="n">
        <f aca="false">'Node Economics'!B43/Throughput!B23*1000000</f>
        <v>0.0122559731719963</v>
      </c>
      <c r="D15" s="53" t="n">
        <f aca="false">B15/$B$19</f>
        <v>0.0358595374397025</v>
      </c>
    </row>
    <row r="16" customFormat="false" ht="15" hidden="false" customHeight="false" outlineLevel="0" collapsed="false">
      <c r="A16" s="3" t="s">
        <v>184</v>
      </c>
      <c r="B16" s="48" t="n">
        <f aca="false">'Node Economics'!B44/Throughput!B22*1000000</f>
        <v>0.0570183313931203</v>
      </c>
      <c r="C16" s="48" t="n">
        <f aca="false">'Node Economics'!B44/Throughput!B23*1000000</f>
        <v>0.0227975691443383</v>
      </c>
      <c r="D16" s="53" t="n">
        <f aca="false">B16/$B$19</f>
        <v>0.0667030086303991</v>
      </c>
    </row>
    <row r="17" customFormat="false" ht="15" hidden="false" customHeight="false" outlineLevel="0" collapsed="false">
      <c r="A17" s="3" t="s">
        <v>204</v>
      </c>
      <c r="B17" s="48" t="n">
        <f aca="false">'Node Economics'!B45/Throughput!B22*1000000</f>
        <v>0.0302486640816405</v>
      </c>
      <c r="C17" s="48" t="n">
        <f aca="false">'Node Economics'!B45/Throughput!B23*1000000</f>
        <v>0.0120942860668888</v>
      </c>
      <c r="D17" s="53" t="n">
        <f aca="false">B17/$B$19</f>
        <v>0.0353864599681912</v>
      </c>
    </row>
    <row r="18" customFormat="false" ht="15" hidden="false" customHeight="false" outlineLevel="0" collapsed="false">
      <c r="A18" s="3" t="s">
        <v>205</v>
      </c>
      <c r="B18" s="48" t="n">
        <f aca="false">'Node Economics'!B46/Throughput!B22*1000000</f>
        <v>0.308307486155012</v>
      </c>
      <c r="C18" s="48" t="n">
        <f aca="false">'Node Economics'!B46/Throughput!B23*1000000</f>
        <v>0.123270202084239</v>
      </c>
      <c r="D18" s="53" t="n">
        <f aca="false">B18/$B$19</f>
        <v>0.360674127203514</v>
      </c>
    </row>
    <row r="19" customFormat="false" ht="15" hidden="false" customHeight="false" outlineLevel="0" collapsed="false">
      <c r="A19" s="54" t="s">
        <v>206</v>
      </c>
      <c r="B19" s="67" t="n">
        <f aca="false">SUM(B13:B18)</f>
        <v>0.854808989337475</v>
      </c>
      <c r="C19" s="67" t="n">
        <f aca="false">SUM(C13:C18)</f>
        <v>0.341777224332706</v>
      </c>
      <c r="D19" s="55" t="n">
        <f aca="false">SUM(D13:D18)</f>
        <v>1</v>
      </c>
    </row>
    <row r="21" customFormat="false" ht="15" hidden="false" customHeight="false" outlineLevel="0" collapsed="false">
      <c r="A21" s="59" t="s">
        <v>251</v>
      </c>
      <c r="B21" s="60"/>
      <c r="C21" s="60"/>
      <c r="D21" s="60"/>
    </row>
    <row r="22" customFormat="false" ht="15" hidden="false" customHeight="false" outlineLevel="0" collapsed="false">
      <c r="A22" s="3" t="s">
        <v>143</v>
      </c>
      <c r="B22" s="50" t="n">
        <f aca="false">Inputs!B48</f>
        <v>100000</v>
      </c>
    </row>
    <row r="23" customFormat="false" ht="15" hidden="false" customHeight="false" outlineLevel="0" collapsed="false">
      <c r="A23" s="3" t="s">
        <v>146</v>
      </c>
      <c r="B23" s="50" t="n">
        <f aca="false">Inputs!B49</f>
        <v>30000</v>
      </c>
    </row>
    <row r="24" customFormat="false" ht="15" hidden="false" customHeight="false" outlineLevel="0" collapsed="false">
      <c r="A24" s="3" t="s">
        <v>252</v>
      </c>
      <c r="B24" s="68" t="n">
        <f aca="false">B22*$C$19/1000000</f>
        <v>0.0341777224332706</v>
      </c>
    </row>
    <row r="25" customFormat="false" ht="15" hidden="false" customHeight="false" outlineLevel="0" collapsed="false">
      <c r="A25" s="3" t="s">
        <v>253</v>
      </c>
      <c r="B25" s="68" t="n">
        <f aca="false">B23*$B$19/1000000</f>
        <v>0.0256442696801243</v>
      </c>
    </row>
    <row r="26" customFormat="false" ht="15" hidden="false" customHeight="false" outlineLevel="0" collapsed="false">
      <c r="A26" s="41" t="s">
        <v>254</v>
      </c>
      <c r="B26" s="67" t="n">
        <f aca="false">B24+B25</f>
        <v>0.0598219921133949</v>
      </c>
    </row>
    <row r="28" customFormat="false" ht="15" hidden="false" customHeight="false" outlineLevel="0" collapsed="false">
      <c r="A28" s="59" t="s">
        <v>255</v>
      </c>
      <c r="B28" s="60"/>
      <c r="C28" s="60"/>
      <c r="D28" s="60"/>
    </row>
    <row r="29" customFormat="false" ht="15" hidden="false" customHeight="false" outlineLevel="0" collapsed="false">
      <c r="A29" s="3" t="s">
        <v>148</v>
      </c>
      <c r="B29" s="50" t="n">
        <f aca="false">Inputs!B50</f>
        <v>25</v>
      </c>
    </row>
    <row r="30" customFormat="false" ht="15" hidden="false" customHeight="false" outlineLevel="0" collapsed="false">
      <c r="A30" s="41" t="s">
        <v>245</v>
      </c>
      <c r="B30" s="49" t="n">
        <f aca="false">B26*B29</f>
        <v>1.49554980283487</v>
      </c>
    </row>
    <row r="31" customFormat="false" ht="15" hidden="false" customHeight="false" outlineLevel="0" collapsed="false">
      <c r="A31" s="3" t="s">
        <v>256</v>
      </c>
      <c r="B31" s="40" t="n">
        <f aca="false">B30*22</f>
        <v>32.9020956623672</v>
      </c>
      <c r="C31" s="36" t="s">
        <v>257</v>
      </c>
    </row>
    <row r="33" customFormat="false" ht="15" hidden="false" customHeight="false" outlineLevel="0" collapsed="false">
      <c r="A33" s="59" t="s">
        <v>258</v>
      </c>
      <c r="B33" s="60"/>
      <c r="C33" s="60"/>
      <c r="D33" s="60"/>
    </row>
    <row r="34" customFormat="false" ht="15" hidden="false" customHeight="false" outlineLevel="0" collapsed="false">
      <c r="A34" s="3" t="s">
        <v>259</v>
      </c>
      <c r="B34" s="69" t="n">
        <f aca="false">Inputs!B52</f>
        <v>5</v>
      </c>
      <c r="C34" s="36" t="s">
        <v>152</v>
      </c>
    </row>
    <row r="35" customFormat="false" ht="15" hidden="false" customHeight="false" outlineLevel="0" collapsed="false">
      <c r="A35" s="3" t="s">
        <v>260</v>
      </c>
      <c r="B35" s="69" t="n">
        <f aca="false">Inputs!B53</f>
        <v>25</v>
      </c>
      <c r="C35" s="36" t="s">
        <v>152</v>
      </c>
    </row>
    <row r="36" customFormat="false" ht="15" hidden="false" customHeight="false" outlineLevel="0" collapsed="false">
      <c r="A36" s="3" t="s">
        <v>261</v>
      </c>
      <c r="B36" s="68" t="n">
        <f aca="false">B22*B34/1000000+B23*B35/1000000</f>
        <v>1.25</v>
      </c>
    </row>
    <row r="37" customFormat="false" ht="15" hidden="false" customHeight="false" outlineLevel="0" collapsed="false">
      <c r="A37" s="3" t="s">
        <v>262</v>
      </c>
      <c r="B37" s="68" t="n">
        <f aca="false">B26</f>
        <v>0.0598219921133949</v>
      </c>
    </row>
    <row r="39" customFormat="false" ht="15" hidden="false" customHeight="false" outlineLevel="0" collapsed="false">
      <c r="A39" s="41" t="s">
        <v>263</v>
      </c>
      <c r="B39" s="70" t="n">
        <f aca="false">B37/B36</f>
        <v>0.0478575936907159</v>
      </c>
    </row>
    <row r="40" customFormat="false" ht="15" hidden="false" customHeight="false" outlineLevel="0" collapsed="false">
      <c r="A40" s="41" t="s">
        <v>264</v>
      </c>
      <c r="B40" s="70" t="n">
        <f aca="false">1-B39</f>
        <v>0.952142406309284</v>
      </c>
    </row>
    <row r="42" customFormat="false" ht="15" hidden="false" customHeight="false" outlineLevel="0" collapsed="false">
      <c r="A42" s="59" t="s">
        <v>265</v>
      </c>
      <c r="B42" s="60"/>
      <c r="C42" s="60"/>
      <c r="D42" s="60"/>
    </row>
    <row r="43" customFormat="false" ht="15" hidden="false" customHeight="false" outlineLevel="0" collapsed="false">
      <c r="A43" s="3" t="s">
        <v>157</v>
      </c>
      <c r="B43" s="51" t="n">
        <f aca="false">Inputs!B55</f>
        <v>100000000</v>
      </c>
    </row>
    <row r="44" customFormat="false" ht="15" hidden="false" customHeight="false" outlineLevel="0" collapsed="false">
      <c r="A44" s="3" t="s">
        <v>266</v>
      </c>
      <c r="B44" s="31" t="n">
        <f aca="false">Inputs!B56*1000000</f>
        <v>100000000</v>
      </c>
      <c r="C44" s="36" t="s">
        <v>267</v>
      </c>
    </row>
    <row r="45" customFormat="false" ht="15" hidden="false" customHeight="false" outlineLevel="0" collapsed="false">
      <c r="A45" s="41" t="s">
        <v>268</v>
      </c>
      <c r="B45" s="71" t="n">
        <f aca="false">B43/B44</f>
        <v>1</v>
      </c>
      <c r="C45" s="36" t="s">
        <v>269</v>
      </c>
    </row>
    <row r="46" customFormat="false" ht="15" hidden="false" customHeight="false" outlineLevel="0" collapsed="false">
      <c r="A46" s="5" t="s">
        <v>270</v>
      </c>
    </row>
    <row r="48" customFormat="false" ht="15" hidden="false" customHeight="false" outlineLevel="0" collapsed="false">
      <c r="A48" s="59" t="s">
        <v>271</v>
      </c>
      <c r="B48" s="60"/>
      <c r="C48" s="60"/>
      <c r="D48" s="60"/>
    </row>
    <row r="49" customFormat="false" ht="15" hidden="false" customHeight="false" outlineLevel="0" collapsed="false">
      <c r="A49" s="29" t="s">
        <v>272</v>
      </c>
      <c r="B49" s="30"/>
      <c r="C49" s="30"/>
      <c r="D49" s="30"/>
    </row>
    <row r="50" customFormat="false" ht="15" hidden="false" customHeight="false" outlineLevel="0" collapsed="false">
      <c r="A50" s="37" t="s">
        <v>273</v>
      </c>
      <c r="B50" s="38" t="s">
        <v>249</v>
      </c>
      <c r="C50" s="38" t="s">
        <v>274</v>
      </c>
    </row>
    <row r="51" customFormat="false" ht="15" hidden="false" customHeight="false" outlineLevel="0" collapsed="false">
      <c r="A51" s="72" t="n">
        <v>0.25</v>
      </c>
      <c r="B51" s="68" t="n">
        <f aca="false">$B$19*(Inputs!B42/A51)</f>
        <v>1.70961797867495</v>
      </c>
      <c r="C51" s="68" t="n">
        <f aca="false">$B$26*(Inputs!B42/A51)</f>
        <v>0.11964398422679</v>
      </c>
    </row>
    <row r="52" customFormat="false" ht="15" hidden="false" customHeight="false" outlineLevel="0" collapsed="false">
      <c r="A52" s="72" t="n">
        <v>0.5</v>
      </c>
      <c r="B52" s="68" t="n">
        <f aca="false">$B$19*(Inputs!B42/A52)</f>
        <v>0.854808989337475</v>
      </c>
      <c r="C52" s="68" t="n">
        <f aca="false">$B$26*(Inputs!B42/A52)</f>
        <v>0.0598219921133949</v>
      </c>
    </row>
    <row r="53" customFormat="false" ht="15" hidden="false" customHeight="false" outlineLevel="0" collapsed="false">
      <c r="A53" s="72" t="n">
        <v>0.75</v>
      </c>
      <c r="B53" s="68" t="n">
        <f aca="false">$B$19*(Inputs!B42/A53)</f>
        <v>0.569872659558317</v>
      </c>
      <c r="C53" s="68" t="n">
        <f aca="false">$B$26*(Inputs!B42/A53)</f>
        <v>0.0398813280755966</v>
      </c>
    </row>
    <row r="54" customFormat="false" ht="15" hidden="false" customHeight="false" outlineLevel="0" collapsed="false">
      <c r="A54" s="72" t="n">
        <v>1</v>
      </c>
      <c r="B54" s="68" t="n">
        <f aca="false">$B$19*(Inputs!B42/A54)</f>
        <v>0.427404494668738</v>
      </c>
      <c r="C54" s="68" t="n">
        <f aca="false">$B$26*(Inputs!B42/A54)</f>
        <v>0.0299109960566974</v>
      </c>
    </row>
    <row r="56" customFormat="false" ht="15" hidden="false" customHeight="false" outlineLevel="0" collapsed="false">
      <c r="A56" s="29" t="s">
        <v>275</v>
      </c>
      <c r="B56" s="30"/>
      <c r="C56" s="30"/>
      <c r="D56" s="30"/>
    </row>
    <row r="57" customFormat="false" ht="15" hidden="false" customHeight="false" outlineLevel="0" collapsed="false">
      <c r="A57" s="37" t="s">
        <v>276</v>
      </c>
      <c r="B57" s="38" t="s">
        <v>249</v>
      </c>
      <c r="C57" s="38" t="s">
        <v>274</v>
      </c>
    </row>
    <row r="58" customFormat="false" ht="15" hidden="false" customHeight="false" outlineLevel="0" collapsed="false">
      <c r="A58" s="57" t="n">
        <v>13</v>
      </c>
      <c r="B58" s="68" t="n">
        <f aca="false">$B$19*(A58/Inputs!B30)</f>
        <v>0.226786058395657</v>
      </c>
      <c r="C58" s="68" t="n">
        <f aca="false">$B$26*(A58/Inputs!B30)</f>
        <v>0.0158711407647782</v>
      </c>
    </row>
    <row r="59" customFormat="false" ht="15" hidden="false" customHeight="false" outlineLevel="0" collapsed="false">
      <c r="A59" s="57" t="n">
        <v>49</v>
      </c>
      <c r="B59" s="68" t="n">
        <f aca="false">$B$19*(A59/Inputs!B30)</f>
        <v>0.854808989337475</v>
      </c>
      <c r="C59" s="68" t="n">
        <f aca="false">$B$26*(A59/Inputs!B30)</f>
        <v>0.0598219921133949</v>
      </c>
    </row>
    <row r="60" customFormat="false" ht="15" hidden="false" customHeight="false" outlineLevel="0" collapsed="false">
      <c r="A60" s="57" t="n">
        <v>75</v>
      </c>
      <c r="B60" s="68" t="n">
        <f aca="false">$B$19*(A60/Inputs!B30)</f>
        <v>1.30838110612879</v>
      </c>
      <c r="C60" s="68" t="n">
        <f aca="false">$B$26*(A60/Inputs!B30)</f>
        <v>0.0915642736429514</v>
      </c>
    </row>
    <row r="61" customFormat="false" ht="15" hidden="false" customHeight="false" outlineLevel="0" collapsed="false">
      <c r="A61" s="57" t="n">
        <v>100</v>
      </c>
      <c r="B61" s="68" t="n">
        <f aca="false">$B$19*(A61/Inputs!B30)</f>
        <v>1.74450814150505</v>
      </c>
      <c r="C61" s="68" t="n">
        <f aca="false">$B$26*(A61/Inputs!B30)</f>
        <v>0.122085698190602</v>
      </c>
    </row>
    <row r="62" customFormat="false" ht="15" hidden="false" customHeight="false" outlineLevel="0" collapsed="false">
      <c r="A62" s="5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6" t="s">
        <v>278</v>
      </c>
      <c r="B1" s="7"/>
      <c r="C1" s="7"/>
      <c r="D1" s="7"/>
    </row>
    <row r="2" customFormat="false" ht="15" hidden="false" customHeight="false" outlineLevel="0" collapsed="false">
      <c r="A2" s="73" t="s">
        <v>279</v>
      </c>
      <c r="B2" s="73" t="s">
        <v>280</v>
      </c>
      <c r="C2" s="73" t="s">
        <v>281</v>
      </c>
      <c r="D2" s="73" t="s">
        <v>282</v>
      </c>
    </row>
    <row r="3" customFormat="false" ht="22.35" hidden="false" customHeight="false" outlineLevel="0" collapsed="false">
      <c r="A3" s="74" t="s">
        <v>283</v>
      </c>
      <c r="B3" s="74" t="s">
        <v>284</v>
      </c>
      <c r="C3" s="74" t="s">
        <v>285</v>
      </c>
      <c r="D3" s="75" t="s">
        <v>286</v>
      </c>
    </row>
    <row r="4" customFormat="false" ht="22.35" hidden="false" customHeight="false" outlineLevel="0" collapsed="false">
      <c r="A4" s="74" t="s">
        <v>287</v>
      </c>
      <c r="B4" s="74" t="s">
        <v>288</v>
      </c>
      <c r="C4" s="74" t="s">
        <v>289</v>
      </c>
      <c r="D4" s="75" t="s">
        <v>290</v>
      </c>
    </row>
    <row r="5" customFormat="false" ht="22.35" hidden="false" customHeight="false" outlineLevel="0" collapsed="false">
      <c r="A5" s="74" t="s">
        <v>291</v>
      </c>
      <c r="B5" s="74" t="s">
        <v>292</v>
      </c>
      <c r="C5" s="74" t="s">
        <v>293</v>
      </c>
      <c r="D5" s="75" t="s">
        <v>294</v>
      </c>
    </row>
    <row r="6" customFormat="false" ht="22.35" hidden="false" customHeight="false" outlineLevel="0" collapsed="false">
      <c r="A6" s="74" t="s">
        <v>295</v>
      </c>
      <c r="B6" s="74" t="s">
        <v>296</v>
      </c>
      <c r="C6" s="74" t="s">
        <v>297</v>
      </c>
      <c r="D6" s="75" t="s">
        <v>298</v>
      </c>
    </row>
    <row r="7" customFormat="false" ht="22.35" hidden="false" customHeight="false" outlineLevel="0" collapsed="false">
      <c r="A7" s="74" t="s">
        <v>299</v>
      </c>
      <c r="B7" s="74" t="s">
        <v>300</v>
      </c>
      <c r="C7" s="74" t="s">
        <v>301</v>
      </c>
      <c r="D7" s="75" t="s">
        <v>302</v>
      </c>
    </row>
    <row r="8" customFormat="false" ht="22.35" hidden="false" customHeight="false" outlineLevel="0" collapsed="false">
      <c r="A8" s="74" t="s">
        <v>303</v>
      </c>
      <c r="B8" s="74" t="s">
        <v>304</v>
      </c>
      <c r="C8" s="74" t="s">
        <v>305</v>
      </c>
      <c r="D8" s="75" t="s">
        <v>306</v>
      </c>
    </row>
    <row r="9" customFormat="false" ht="22.35" hidden="false" customHeight="false" outlineLevel="0" collapsed="false">
      <c r="A9" s="74" t="s">
        <v>307</v>
      </c>
      <c r="B9" s="74" t="s">
        <v>308</v>
      </c>
      <c r="C9" s="74" t="s">
        <v>309</v>
      </c>
      <c r="D9" s="75" t="s">
        <v>310</v>
      </c>
    </row>
    <row r="10" customFormat="false" ht="22.35" hidden="false" customHeight="false" outlineLevel="0" collapsed="false">
      <c r="A10" s="74" t="s">
        <v>91</v>
      </c>
      <c r="B10" s="74" t="s">
        <v>311</v>
      </c>
      <c r="C10" s="74" t="s">
        <v>312</v>
      </c>
      <c r="D10" s="75" t="s">
        <v>313</v>
      </c>
    </row>
    <row r="11" customFormat="false" ht="15" hidden="false" customHeight="false" outlineLevel="0" collapsed="false">
      <c r="A11" s="74" t="s">
        <v>94</v>
      </c>
      <c r="B11" s="74" t="s">
        <v>314</v>
      </c>
      <c r="C11" s="74" t="s">
        <v>315</v>
      </c>
      <c r="D11" s="75" t="s">
        <v>313</v>
      </c>
    </row>
    <row r="12" customFormat="false" ht="22.35" hidden="false" customHeight="false" outlineLevel="0" collapsed="false">
      <c r="A12" s="74" t="s">
        <v>316</v>
      </c>
      <c r="B12" s="74" t="s">
        <v>317</v>
      </c>
      <c r="C12" s="74" t="s">
        <v>318</v>
      </c>
      <c r="D12" s="75" t="s">
        <v>319</v>
      </c>
    </row>
    <row r="13" customFormat="false" ht="15" hidden="false" customHeight="false" outlineLevel="0" collapsed="false">
      <c r="A13" s="74" t="s">
        <v>320</v>
      </c>
      <c r="B13" s="74" t="s">
        <v>321</v>
      </c>
      <c r="C13" s="74" t="s">
        <v>322</v>
      </c>
      <c r="D13" s="75" t="s">
        <v>323</v>
      </c>
    </row>
    <row r="14" customFormat="false" ht="22.35" hidden="false" customHeight="false" outlineLevel="0" collapsed="false">
      <c r="A14" s="74" t="s">
        <v>324</v>
      </c>
      <c r="B14" s="74" t="s">
        <v>325</v>
      </c>
      <c r="C14" s="74" t="s">
        <v>326</v>
      </c>
      <c r="D14" s="75" t="s">
        <v>327</v>
      </c>
    </row>
    <row r="15" customFormat="false" ht="22.35" hidden="false" customHeight="false" outlineLevel="0" collapsed="false">
      <c r="A15" s="74" t="s">
        <v>328</v>
      </c>
      <c r="B15" s="74" t="s">
        <v>329</v>
      </c>
      <c r="C15" s="74" t="s">
        <v>330</v>
      </c>
      <c r="D15" s="75" t="s">
        <v>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2026-06-25T20:53:01Z</dcterms:created>
  <dc:creator>openpyxl</dc:creator>
  <dc:description/>
  <dc:language>en-US</dc:language>
  <cp:lastModifiedBy/>
  <dcterms:modified xsi:type="dcterms:W3CDTF">2026-06-25T20:53:05Z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